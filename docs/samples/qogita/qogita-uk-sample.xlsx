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top/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Qogita Catalog</t>
        </is>
      </c>
    </row>
    <row r="2">
      <c r="A2" s="2" t="inlineStr">
        <is>
          <t>Catalog As Of 2026-10-07T16-44-25</t>
        </is>
      </c>
    </row>
    <row r="3">
      <c r="A3" s="3" t="inlineStr">
        <is>
          <t>For Illustrative Purposes Only. Prices May Differ Per Cart Subject To Optimization. Final Prices Available At Checkout. Inventory May Change Intra-Day.</t>
        </is>
      </c>
    </row>
    <row r="4">
      <c r="A4" s="3" t="inlineStr">
        <is>
          <t>Filters - Category: nail-care</t>
        </is>
      </c>
    </row>
    <row r="5">
      <c r="A5" s="4" t="inlineStr">
        <is>
          <t>GTIN</t>
        </is>
      </c>
      <c r="B5" s="4" t="inlineStr">
        <is>
          <t>Name</t>
        </is>
      </c>
      <c r="C5" s="4" t="inlineStr">
        <is>
          <t>Category</t>
        </is>
      </c>
      <c r="D5" s="4" t="inlineStr">
        <is>
          <t>Brand</t>
        </is>
      </c>
      <c r="E5" s="4" t="inlineStr">
        <is>
          <t>£ Lowest Price inc. shipping</t>
        </is>
      </c>
      <c r="F5" s="4" t="inlineStr">
        <is>
          <t>Unit</t>
        </is>
      </c>
      <c r="G5" s="4" t="inlineStr">
        <is>
          <t>Lowest Priced Offer Inventory</t>
        </is>
      </c>
      <c r="H5" s="4" t="inlineStr">
        <is>
          <t>Is a pre-order?</t>
        </is>
      </c>
      <c r="I5" s="4" t="inlineStr">
        <is>
          <t>Estimated Delivery Time (weeks)</t>
        </is>
      </c>
      <c r="J5" s="4" t="inlineStr">
        <is>
          <t>Number of Offers</t>
        </is>
      </c>
      <c r="K5" s="4" t="inlineStr">
        <is>
          <t>Total Inventory of All Offers</t>
        </is>
      </c>
      <c r="L5" s="4" t="inlineStr">
        <is>
          <t>Product Link</t>
        </is>
      </c>
    </row>
    <row r="6">
      <c r="A6" t="inlineStr">
        <is>
          <t>0033000002668</t>
        </is>
      </c>
      <c r="B6" t="inlineStr">
        <is>
          <t>Revlon Cuticle Softener</t>
        </is>
      </c>
      <c r="C6" t="inlineStr">
        <is>
          <t>Cuticle Removers</t>
        </is>
      </c>
      <c r="D6" t="inlineStr">
        <is>
          <t>Revlon</t>
        </is>
      </c>
      <c r="E6" t="n">
        <v>0.92</v>
      </c>
      <c r="F6" t="n">
        <v>1</v>
      </c>
      <c r="G6" t="n">
        <v>120</v>
      </c>
      <c r="H6" t="inlineStr">
        <is>
          <t>No</t>
        </is>
      </c>
      <c r="I6" t="inlineStr"/>
      <c r="J6" t="n">
        <v>1</v>
      </c>
      <c r="K6" t="n">
        <v>120</v>
      </c>
      <c r="L6" s="5">
        <f>HYPERLINK("https://api.qogita.com/variants/link/0033000002668/", "View Product")</f>
        <v/>
      </c>
    </row>
    <row r="7">
      <c r="A7" t="inlineStr">
        <is>
          <t>0074170468113</t>
        </is>
      </c>
      <c r="B7" t="inlineStr">
        <is>
          <t>Sally Hansen Color Therapy Nail Cuticle Serum 14.7ml #554</t>
        </is>
      </c>
      <c r="C7" t="inlineStr">
        <is>
          <t>Cuticle Removers</t>
        </is>
      </c>
      <c r="D7" t="inlineStr">
        <is>
          <t>Sally Hansen</t>
        </is>
      </c>
      <c r="E7" t="n">
        <v>2.27</v>
      </c>
      <c r="F7" t="n">
        <v>1</v>
      </c>
      <c r="G7" t="n">
        <v>120</v>
      </c>
      <c r="H7" t="inlineStr">
        <is>
          <t>No</t>
        </is>
      </c>
      <c r="I7" t="inlineStr"/>
      <c r="J7" t="n">
        <v>1</v>
      </c>
      <c r="K7" t="n">
        <v>120</v>
      </c>
      <c r="L7" s="5">
        <f>HYPERLINK("https://api.qogita.com/variants/link/0074170468113/", "View Product")</f>
        <v/>
      </c>
    </row>
    <row r="8">
      <c r="A8" t="inlineStr">
        <is>
          <t>0309978796657</t>
        </is>
      </c>
      <c r="B8" t="inlineStr">
        <is>
          <t>Revlon Pedicure Set including Toenail Clipper, Nail File, Pumice Stone, Toe Separator</t>
        </is>
      </c>
      <c r="C8" t="inlineStr">
        <is>
          <t>Nail Clippers &amp; Tools</t>
        </is>
      </c>
      <c r="D8" t="inlineStr">
        <is>
          <t>Revlon Professional</t>
        </is>
      </c>
      <c r="E8" t="n">
        <v>1.48</v>
      </c>
      <c r="F8" t="n">
        <v>1</v>
      </c>
      <c r="G8" t="n">
        <v>120</v>
      </c>
      <c r="H8" t="inlineStr">
        <is>
          <t>No</t>
        </is>
      </c>
      <c r="I8" t="inlineStr"/>
      <c r="J8" t="n">
        <v>1</v>
      </c>
      <c r="K8" t="n">
        <v>120</v>
      </c>
      <c r="L8" s="5">
        <f>HYPERLINK("https://api.qogita.com/variants/link/0309978796657/", "View Product")</f>
        <v/>
      </c>
    </row>
    <row r="9">
      <c r="A9" t="inlineStr">
        <is>
          <t>3616302748693</t>
        </is>
      </c>
      <c r="B9" t="inlineStr">
        <is>
          <t>Sally Hansen Nail Salon Pro Tool Kit with Nail Art Tools 0.32oz</t>
        </is>
      </c>
      <c r="C9" t="inlineStr">
        <is>
          <t>Nail Care Sets</t>
        </is>
      </c>
      <c r="D9" t="inlineStr">
        <is>
          <t>Sally Hansen</t>
        </is>
      </c>
      <c r="E9" t="n">
        <v>2.25</v>
      </c>
      <c r="F9" t="n">
        <v>1</v>
      </c>
      <c r="G9" t="n">
        <v>120</v>
      </c>
      <c r="H9" t="inlineStr">
        <is>
          <t>No</t>
        </is>
      </c>
      <c r="I9" t="inlineStr"/>
      <c r="J9" t="n">
        <v>1</v>
      </c>
      <c r="K9" t="n">
        <v>120</v>
      </c>
      <c r="L9" s="5">
        <f>HYPERLINK("https://api.qogita.com/variants/link/3616302748693/", "View Product")</f>
        <v/>
      </c>
    </row>
    <row r="10">
      <c r="A10" t="inlineStr">
        <is>
          <t>5000444020683</t>
        </is>
      </c>
      <c r="B10" t="inlineStr">
        <is>
          <t>NAILOID Once Bitten Twice Shy 250g</t>
        </is>
      </c>
      <c r="C10" t="inlineStr">
        <is>
          <t>Nail Oil</t>
        </is>
      </c>
      <c r="D10" t="inlineStr">
        <is>
          <t>Nailoid</t>
        </is>
      </c>
      <c r="E10" t="n">
        <v>3.39</v>
      </c>
      <c r="F10" t="n">
        <v>1</v>
      </c>
      <c r="G10" t="n">
        <v>72</v>
      </c>
      <c r="H10" t="inlineStr">
        <is>
          <t>No</t>
        </is>
      </c>
      <c r="I10" t="inlineStr"/>
      <c r="J10" t="n">
        <v>1</v>
      </c>
      <c r="K10" t="n">
        <v>72</v>
      </c>
      <c r="L10" s="5">
        <f>HYPERLINK("https://api.qogita.com/variants/link/5000444020683/", "View Product")</f>
        <v/>
      </c>
    </row>
    <row r="11">
      <c r="A11" t="inlineStr">
        <is>
          <t>5000444020690</t>
        </is>
      </c>
      <c r="B11" t="inlineStr">
        <is>
          <t>NAILOID Cuticle Perfection Nail Treatment 12ml</t>
        </is>
      </c>
      <c r="C11" t="inlineStr">
        <is>
          <t>Nail Oil</t>
        </is>
      </c>
      <c r="D11" t="inlineStr">
        <is>
          <t>Nailoid</t>
        </is>
      </c>
      <c r="E11" t="n">
        <v>3.39</v>
      </c>
      <c r="F11" t="n">
        <v>1</v>
      </c>
      <c r="G11" t="n">
        <v>72</v>
      </c>
      <c r="H11" t="inlineStr">
        <is>
          <t>No</t>
        </is>
      </c>
      <c r="I11" t="inlineStr"/>
      <c r="J11" t="n">
        <v>1</v>
      </c>
      <c r="K11" t="n">
        <v>72</v>
      </c>
      <c r="L11" s="5">
        <f>HYPERLINK("https://api.qogita.com/variants/link/5000444020690/", "View Product")</f>
        <v/>
      </c>
    </row>
    <row r="12">
      <c r="A12" t="inlineStr">
        <is>
          <t>5000444020706</t>
        </is>
      </c>
      <c r="B12" t="inlineStr">
        <is>
          <t>NAILOID Total Duty Nail Treatment 12ml</t>
        </is>
      </c>
      <c r="C12" t="inlineStr">
        <is>
          <t>Nail Oil</t>
        </is>
      </c>
      <c r="D12" t="inlineStr">
        <is>
          <t>Nailoid</t>
        </is>
      </c>
      <c r="E12" t="n">
        <v>3.39</v>
      </c>
      <c r="F12" t="n">
        <v>1</v>
      </c>
      <c r="G12" t="n">
        <v>48</v>
      </c>
      <c r="H12" t="inlineStr">
        <is>
          <t>No</t>
        </is>
      </c>
      <c r="I12" t="inlineStr"/>
      <c r="J12" t="n">
        <v>1</v>
      </c>
      <c r="K12" t="n">
        <v>48</v>
      </c>
      <c r="L12" s="5">
        <f>HYPERLINK("https://api.qogita.com/variants/link/5000444020706/", "View Product")</f>
        <v/>
      </c>
    </row>
    <row r="13">
      <c r="A13" t="inlineStr">
        <is>
          <t>5029018000548</t>
        </is>
      </c>
      <c r="B13" t="inlineStr">
        <is>
          <t>PinkeeS by New York NailCare Pro Nail File 17cm Long 180/220 Grit</t>
        </is>
      </c>
      <c r="C13" t="inlineStr">
        <is>
          <t>Nail Clippers &amp; Tools</t>
        </is>
      </c>
      <c r="D13" t="inlineStr">
        <is>
          <t>New York Nail Care</t>
        </is>
      </c>
      <c r="E13" t="n">
        <v>0.36</v>
      </c>
      <c r="F13" t="n">
        <v>1</v>
      </c>
      <c r="G13" t="n">
        <v>120</v>
      </c>
      <c r="H13" t="inlineStr">
        <is>
          <t>No</t>
        </is>
      </c>
      <c r="I13" t="inlineStr"/>
      <c r="J13" t="n">
        <v>1</v>
      </c>
      <c r="K13" t="n">
        <v>120</v>
      </c>
      <c r="L13" s="5">
        <f>HYPERLINK("https://api.qogita.com/variants/link/5029018000548/", "View Product")</f>
        <v/>
      </c>
    </row>
    <row r="14">
      <c r="A14" t="inlineStr">
        <is>
          <t>5060132136171</t>
        </is>
      </c>
      <c r="B14" t="inlineStr">
        <is>
          <t>Ciate Corrupted Neon Big Yellow Taxi Manicure Kit 135ml</t>
        </is>
      </c>
      <c r="C14" t="inlineStr">
        <is>
          <t>Manicure Sets</t>
        </is>
      </c>
      <c r="D14" t="inlineStr">
        <is>
          <t>Ciate</t>
        </is>
      </c>
      <c r="E14" t="n">
        <v>2.02</v>
      </c>
      <c r="F14" t="n">
        <v>1</v>
      </c>
      <c r="G14" t="n">
        <v>120</v>
      </c>
      <c r="H14" t="inlineStr">
        <is>
          <t>No</t>
        </is>
      </c>
      <c r="I14" t="inlineStr"/>
      <c r="J14" t="n">
        <v>1</v>
      </c>
      <c r="K14" t="n">
        <v>120</v>
      </c>
      <c r="L14" s="5">
        <f>HYPERLINK("https://api.qogita.com/variants/link/5060132136171/", "View Product")</f>
        <v/>
      </c>
    </row>
    <row r="15">
      <c r="A15" t="inlineStr">
        <is>
          <t>4007669784629</t>
        </is>
      </c>
      <c r="B15" t="inlineStr">
        <is>
          <t>Kellermann Manicure Set Brown 7846PN</t>
        </is>
      </c>
      <c r="C15" t="inlineStr">
        <is>
          <t>Manicure Sets</t>
        </is>
      </c>
      <c r="D15" t="inlineStr">
        <is>
          <t>Küchenprofi</t>
        </is>
      </c>
      <c r="E15" t="n">
        <v>11.4</v>
      </c>
      <c r="F15" t="n">
        <v>1</v>
      </c>
      <c r="G15" t="n">
        <v>3</v>
      </c>
      <c r="H15" t="inlineStr">
        <is>
          <t>No</t>
        </is>
      </c>
      <c r="I15" t="inlineStr"/>
      <c r="J15" t="n">
        <v>1</v>
      </c>
      <c r="K15" t="n">
        <v>3</v>
      </c>
      <c r="L15" s="5">
        <f>HYPERLINK("https://api.qogita.com/variants/link/4007669784629/", "View Product")</f>
        <v/>
      </c>
    </row>
    <row r="16">
      <c r="A16" t="inlineStr">
        <is>
          <t>4007669785527</t>
        </is>
      </c>
      <c r="B16" t="inlineStr">
        <is>
          <t>Kellermann Fashion Materials Manicure 7855 Pn 1 Piece</t>
        </is>
      </c>
      <c r="C16" t="inlineStr">
        <is>
          <t>Manicure Sets</t>
        </is>
      </c>
      <c r="D16" t="inlineStr">
        <is>
          <t>Kellermann</t>
        </is>
      </c>
      <c r="E16" t="n">
        <v>23.76</v>
      </c>
      <c r="F16" t="n">
        <v>1</v>
      </c>
      <c r="G16" t="n">
        <v>1</v>
      </c>
      <c r="H16" t="inlineStr">
        <is>
          <t>No</t>
        </is>
      </c>
      <c r="I16" t="inlineStr"/>
      <c r="J16" t="n">
        <v>1</v>
      </c>
      <c r="K16" t="n">
        <v>1</v>
      </c>
      <c r="L16" s="5">
        <f>HYPERLINK("https://api.qogita.com/variants/link/4007669785527/", "View Product")</f>
        <v/>
      </c>
    </row>
    <row r="17">
      <c r="A17" t="inlineStr">
        <is>
          <t>3323037218680</t>
        </is>
      </c>
      <c r="B17" t="inlineStr">
        <is>
          <t>Akileine Hand &amp; Foot Cuticle Oil &amp; Cream 75ml</t>
        </is>
      </c>
      <c r="C17" t="inlineStr">
        <is>
          <t>Nail Oil</t>
        </is>
      </c>
      <c r="D17" t="inlineStr">
        <is>
          <t>Akileine</t>
        </is>
      </c>
      <c r="E17" t="n">
        <v>7.88</v>
      </c>
      <c r="F17" t="n">
        <v>1</v>
      </c>
      <c r="G17" t="n">
        <v>9</v>
      </c>
      <c r="H17" t="inlineStr">
        <is>
          <t>No</t>
        </is>
      </c>
      <c r="I17" t="inlineStr"/>
      <c r="J17" t="n">
        <v>1</v>
      </c>
      <c r="K17" t="n">
        <v>9</v>
      </c>
      <c r="L17" s="5">
        <f>HYPERLINK("https://api.qogita.com/variants/link/3323037218680/", "View Product")</f>
        <v/>
      </c>
    </row>
    <row r="18">
      <c r="A18" t="inlineStr">
        <is>
          <t>3574661302287</t>
        </is>
      </c>
      <c r="B18" t="inlineStr">
        <is>
          <t>Neutrogena Cuticle Oils 75ml</t>
        </is>
      </c>
      <c r="C18" t="inlineStr">
        <is>
          <t>Nail Oil</t>
        </is>
      </c>
      <c r="D18" t="inlineStr">
        <is>
          <t>Neutrogena</t>
        </is>
      </c>
      <c r="E18" t="n">
        <v>4.97</v>
      </c>
      <c r="F18" t="n">
        <v>120</v>
      </c>
      <c r="G18" t="n">
        <v>120</v>
      </c>
      <c r="H18" t="inlineStr">
        <is>
          <t>No</t>
        </is>
      </c>
      <c r="I18" t="inlineStr"/>
      <c r="J18" t="n">
        <v>1</v>
      </c>
      <c r="K18" t="n">
        <v>120</v>
      </c>
      <c r="L18" s="5">
        <f>HYPERLINK("https://api.qogita.com/variants/link/3574661302287/", "View Product")</f>
        <v/>
      </c>
    </row>
    <row r="19">
      <c r="A19" t="inlineStr">
        <is>
          <t>7618900970014</t>
        </is>
      </c>
      <c r="B19" t="inlineStr">
        <is>
          <t>Mavala Mavamed Fungal Nail Solution 5ml Effective Treatment For Nail Fungus</t>
        </is>
      </c>
      <c r="C19" t="inlineStr">
        <is>
          <t>Nail Oil</t>
        </is>
      </c>
      <c r="D19" t="inlineStr">
        <is>
          <t>Mavala</t>
        </is>
      </c>
      <c r="E19" t="n">
        <v>9.32</v>
      </c>
      <c r="F19" t="n">
        <v>1</v>
      </c>
      <c r="G19" t="n">
        <v>36</v>
      </c>
      <c r="H19" t="inlineStr">
        <is>
          <t>No</t>
        </is>
      </c>
      <c r="I19" t="inlineStr"/>
      <c r="J19" t="n">
        <v>3</v>
      </c>
      <c r="K19" t="n">
        <v>99</v>
      </c>
      <c r="L19" s="5">
        <f>HYPERLINK("https://api.qogita.com/variants/link/7618900970014/", "View Product")</f>
        <v/>
      </c>
    </row>
    <row r="20">
      <c r="A20" t="inlineStr">
        <is>
          <t>8412122340223</t>
        </is>
      </c>
      <c r="B20" t="inlineStr">
        <is>
          <t>Beter Beter Sapphire Nail File 157 Cm</t>
        </is>
      </c>
      <c r="C20" t="inlineStr">
        <is>
          <t>Nail Care</t>
        </is>
      </c>
      <c r="D20" t="inlineStr">
        <is>
          <t>Beter</t>
        </is>
      </c>
      <c r="E20" t="n">
        <v>0.5</v>
      </c>
      <c r="F20" t="n">
        <v>1</v>
      </c>
      <c r="G20" t="n">
        <v>4</v>
      </c>
      <c r="H20" t="inlineStr">
        <is>
          <t>No</t>
        </is>
      </c>
      <c r="I20" t="inlineStr"/>
      <c r="J20" t="n">
        <v>1</v>
      </c>
      <c r="K20" t="n">
        <v>4</v>
      </c>
      <c r="L20" s="5">
        <f>HYPERLINK("https://api.qogita.com/variants/link/8412122340223/", "View Product")</f>
        <v/>
      </c>
    </row>
    <row r="21">
      <c r="A21" t="inlineStr">
        <is>
          <t>8436002851944</t>
        </is>
      </c>
      <c r="B21" t="inlineStr">
        <is>
          <t>Shila Shila Comprehensive Nail Treatment 60ml</t>
        </is>
      </c>
      <c r="C21" t="inlineStr">
        <is>
          <t>Nail Care Sets</t>
        </is>
      </c>
      <c r="D21" t="inlineStr">
        <is>
          <t>D'Shila</t>
        </is>
      </c>
      <c r="E21" t="n">
        <v>8.26</v>
      </c>
      <c r="F21" t="n">
        <v>1</v>
      </c>
      <c r="G21" t="n">
        <v>6</v>
      </c>
      <c r="H21" t="inlineStr">
        <is>
          <t>No</t>
        </is>
      </c>
      <c r="I21" t="inlineStr"/>
      <c r="J21" t="n">
        <v>1</v>
      </c>
      <c r="K21" t="n">
        <v>6</v>
      </c>
      <c r="L21" s="5">
        <f>HYPERLINK("https://api.qogita.com/variants/link/8436002851944/", "View Product")</f>
        <v/>
      </c>
    </row>
    <row r="22">
      <c r="A22" t="inlineStr">
        <is>
          <t>8470001915528</t>
        </is>
      </c>
      <c r="B22" t="inlineStr">
        <is>
          <t>Isdin Isdin Sinails Nail Strengthener 25ml</t>
        </is>
      </c>
      <c r="C22" t="inlineStr">
        <is>
          <t>Nail Care Sets</t>
        </is>
      </c>
      <c r="D22" t="inlineStr">
        <is>
          <t>ISDIN</t>
        </is>
      </c>
      <c r="E22" t="n">
        <v>14.23</v>
      </c>
      <c r="F22" t="n">
        <v>1</v>
      </c>
      <c r="G22" t="n">
        <v>6</v>
      </c>
      <c r="H22" t="inlineStr">
        <is>
          <t>No</t>
        </is>
      </c>
      <c r="I22" t="inlineStr"/>
      <c r="J22" t="n">
        <v>2</v>
      </c>
      <c r="K22" t="n">
        <v>46</v>
      </c>
      <c r="L22" s="5">
        <f>HYPERLINK("https://api.qogita.com/variants/link/8470001915528/", "View Product")</f>
        <v/>
      </c>
    </row>
    <row r="23">
      <c r="A23" t="inlineStr">
        <is>
          <t>0074170451290</t>
        </is>
      </c>
      <c r="B23" t="inlineStr">
        <is>
          <t>Sally Hansen Instant Cuticle Remover 1 Ounce</t>
        </is>
      </c>
      <c r="C23" t="inlineStr">
        <is>
          <t>Cuticle Removers</t>
        </is>
      </c>
      <c r="D23" t="inlineStr">
        <is>
          <t>Sally Hansen</t>
        </is>
      </c>
      <c r="E23" t="n">
        <v>2.76</v>
      </c>
      <c r="F23" t="n">
        <v>1</v>
      </c>
      <c r="G23" t="n">
        <v>1765</v>
      </c>
      <c r="H23" t="inlineStr">
        <is>
          <t>No</t>
        </is>
      </c>
      <c r="I23" t="inlineStr"/>
      <c r="J23" t="n">
        <v>2</v>
      </c>
      <c r="K23" t="n">
        <v>1789</v>
      </c>
      <c r="L23" s="5">
        <f>HYPERLINK("https://api.qogita.com/variants/link/0074170451290/", "View Product")</f>
        <v/>
      </c>
    </row>
    <row r="24">
      <c r="A24" t="inlineStr">
        <is>
          <t>3760095250519</t>
        </is>
      </c>
      <c r="B24" t="inlineStr">
        <is>
          <t>Acm Novophane Nail Cream 15ml</t>
        </is>
      </c>
      <c r="C24" t="inlineStr">
        <is>
          <t>Nail Care Sets</t>
        </is>
      </c>
      <c r="D24" t="inlineStr">
        <is>
          <t>Acm</t>
        </is>
      </c>
      <c r="E24" t="n">
        <v>13.79</v>
      </c>
      <c r="F24" t="n">
        <v>1</v>
      </c>
      <c r="G24" t="n">
        <v>20</v>
      </c>
      <c r="H24" t="inlineStr">
        <is>
          <t>No</t>
        </is>
      </c>
      <c r="I24" t="inlineStr"/>
      <c r="J24" t="n">
        <v>1</v>
      </c>
      <c r="K24" t="n">
        <v>20</v>
      </c>
      <c r="L24" s="5">
        <f>HYPERLINK("https://api.qogita.com/variants/link/3760095250519/", "View Product")</f>
        <v/>
      </c>
    </row>
    <row r="25">
      <c r="A25" t="inlineStr">
        <is>
          <t>5410765001740</t>
        </is>
      </c>
      <c r="B25" t="inlineStr">
        <is>
          <t>Excilor Mycosis Nail Treatment New Formula 33 Ml</t>
        </is>
      </c>
      <c r="C25" t="inlineStr">
        <is>
          <t>Nail Oil</t>
        </is>
      </c>
      <c r="D25" t="inlineStr">
        <is>
          <t>Excilor</t>
        </is>
      </c>
      <c r="E25" t="n">
        <v>10.95</v>
      </c>
      <c r="F25" t="n">
        <v>1</v>
      </c>
      <c r="G25" t="n">
        <v>9</v>
      </c>
      <c r="H25" t="inlineStr">
        <is>
          <t>No</t>
        </is>
      </c>
      <c r="I25" t="inlineStr"/>
      <c r="J25" t="n">
        <v>3</v>
      </c>
      <c r="K25" t="n">
        <v>20</v>
      </c>
      <c r="L25" s="5">
        <f>HYPERLINK("https://api.qogita.com/variants/link/5410765001740/", "View Product")</f>
        <v/>
      </c>
    </row>
    <row r="26">
      <c r="A26" t="inlineStr">
        <is>
          <t>5410765002648</t>
        </is>
      </c>
      <c r="B26" t="inlineStr">
        <is>
          <t>Vemedia Excilor Fungal Nail Infection Strong Mycosis Dell' Nail 1 Part</t>
        </is>
      </c>
      <c r="C26" t="inlineStr">
        <is>
          <t>Nail Care</t>
        </is>
      </c>
      <c r="D26" t="inlineStr">
        <is>
          <t>Vemedia</t>
        </is>
      </c>
      <c r="E26" t="n">
        <v>14.71</v>
      </c>
      <c r="F26" t="n">
        <v>1</v>
      </c>
      <c r="G26" t="n">
        <v>3</v>
      </c>
      <c r="H26" t="inlineStr">
        <is>
          <t>No</t>
        </is>
      </c>
      <c r="I26" t="inlineStr"/>
      <c r="J26" t="n">
        <v>3</v>
      </c>
      <c r="K26" t="n">
        <v>22</v>
      </c>
      <c r="L26" s="5">
        <f>HYPERLINK("https://api.qogita.com/variants/link/5410765002648/", "View Product")</f>
        <v/>
      </c>
    </row>
    <row r="27">
      <c r="A27" t="inlineStr">
        <is>
          <t>7391715029008</t>
        </is>
      </c>
      <c r="B27" t="inlineStr">
        <is>
          <t>Beter Beter Depend Gel Iq Start Kit Set 7 Pieces</t>
        </is>
      </c>
      <c r="C27" t="inlineStr">
        <is>
          <t>Manicure Sets</t>
        </is>
      </c>
      <c r="D27" t="inlineStr">
        <is>
          <t>Beter</t>
        </is>
      </c>
      <c r="E27" t="n">
        <v>17.02</v>
      </c>
      <c r="F27" t="n">
        <v>1</v>
      </c>
      <c r="G27" t="n">
        <v>3</v>
      </c>
      <c r="H27" t="inlineStr">
        <is>
          <t>No</t>
        </is>
      </c>
      <c r="I27" t="inlineStr"/>
      <c r="J27" t="n">
        <v>2</v>
      </c>
      <c r="K27" t="n">
        <v>15</v>
      </c>
      <c r="L27" s="5">
        <f>HYPERLINK("https://api.qogita.com/variants/link/7391715029008/", "View Product")</f>
        <v/>
      </c>
    </row>
    <row r="28">
      <c r="A28" t="inlineStr">
        <is>
          <t>7391715029022</t>
        </is>
      </c>
      <c r="B28" t="inlineStr">
        <is>
          <t>Beter Beter Depend Gel Iq Shine Finish Step 5 41507</t>
        </is>
      </c>
      <c r="C28" t="inlineStr">
        <is>
          <t>Nail Care Sets</t>
        </is>
      </c>
      <c r="D28" t="inlineStr">
        <is>
          <t>Beter</t>
        </is>
      </c>
      <c r="E28" t="n">
        <v>1.48</v>
      </c>
      <c r="F28" t="n">
        <v>1</v>
      </c>
      <c r="G28" t="n">
        <v>4</v>
      </c>
      <c r="H28" t="inlineStr">
        <is>
          <t>No</t>
        </is>
      </c>
      <c r="I28" t="inlineStr"/>
      <c r="J28" t="n">
        <v>2</v>
      </c>
      <c r="K28" t="n">
        <v>15</v>
      </c>
      <c r="L28" s="5">
        <f>HYPERLINK("https://api.qogita.com/variants/link/7391715029022/", "View Product")</f>
        <v/>
      </c>
    </row>
    <row r="29">
      <c r="A29" t="inlineStr">
        <is>
          <t>7618900705050</t>
        </is>
      </c>
      <c r="B29" t="inlineStr">
        <is>
          <t>Mavala Mavawhite Optical Nail Whitener 10ml</t>
        </is>
      </c>
      <c r="C29" t="inlineStr">
        <is>
          <t>Nail Care Sets</t>
        </is>
      </c>
      <c r="D29" t="inlineStr">
        <is>
          <t>Mavala</t>
        </is>
      </c>
      <c r="E29" t="n">
        <v>8.51</v>
      </c>
      <c r="F29" t="n">
        <v>1</v>
      </c>
      <c r="G29" t="n">
        <v>15</v>
      </c>
      <c r="H29" t="inlineStr">
        <is>
          <t>No</t>
        </is>
      </c>
      <c r="I29" t="inlineStr"/>
      <c r="J29" t="n">
        <v>1</v>
      </c>
      <c r="K29" t="n">
        <v>15</v>
      </c>
      <c r="L29" s="5">
        <f>HYPERLINK("https://api.qogita.com/variants/link/7618900705050/", "View Product")</f>
        <v/>
      </c>
    </row>
    <row r="30">
      <c r="A30" t="inlineStr">
        <is>
          <t>7618900885042</t>
        </is>
      </c>
      <c r="B30" t="inlineStr">
        <is>
          <t>Mavala Open And Flaking Nails Kit</t>
        </is>
      </c>
      <c r="C30" t="inlineStr">
        <is>
          <t>Nail Care Sets</t>
        </is>
      </c>
      <c r="D30" t="inlineStr">
        <is>
          <t>Mavala</t>
        </is>
      </c>
      <c r="E30" t="n">
        <v>24.67</v>
      </c>
      <c r="F30" t="n">
        <v>1</v>
      </c>
      <c r="G30" t="n">
        <v>1</v>
      </c>
      <c r="H30" t="inlineStr">
        <is>
          <t>No</t>
        </is>
      </c>
      <c r="I30" t="inlineStr"/>
      <c r="J30" t="n">
        <v>1</v>
      </c>
      <c r="K30" t="n">
        <v>1</v>
      </c>
      <c r="L30" s="5">
        <f>HYPERLINK("https://api.qogita.com/variants/link/7618900885042/", "View Product")</f>
        <v/>
      </c>
    </row>
    <row r="31">
      <c r="A31" t="inlineStr">
        <is>
          <t>7618900905054</t>
        </is>
      </c>
      <c r="B31" t="inlineStr">
        <is>
          <t>Mavala Mavala Nailactan Nourishing Nail Cream 15ml</t>
        </is>
      </c>
      <c r="C31" t="inlineStr">
        <is>
          <t>Nail Oil</t>
        </is>
      </c>
      <c r="D31" t="inlineStr">
        <is>
          <t>Mavala</t>
        </is>
      </c>
      <c r="E31" t="n">
        <v>12.84</v>
      </c>
      <c r="F31" t="n">
        <v>1</v>
      </c>
      <c r="G31" t="n">
        <v>45</v>
      </c>
      <c r="H31" t="inlineStr">
        <is>
          <t>No</t>
        </is>
      </c>
      <c r="I31" t="inlineStr"/>
      <c r="J31" t="n">
        <v>2</v>
      </c>
      <c r="K31" t="n">
        <v>116</v>
      </c>
      <c r="L31" s="5">
        <f>HYPERLINK("https://api.qogita.com/variants/link/7618900905054/", "View Product")</f>
        <v/>
      </c>
    </row>
    <row r="32">
      <c r="A32" t="inlineStr">
        <is>
          <t>7618900906112</t>
        </is>
      </c>
      <c r="B32" t="inlineStr">
        <is>
          <t>Mavala Mavala Manicure Tablets 6 Units</t>
        </is>
      </c>
      <c r="C32" t="inlineStr">
        <is>
          <t>Manicure Sets</t>
        </is>
      </c>
      <c r="D32" t="inlineStr">
        <is>
          <t>Mavala</t>
        </is>
      </c>
      <c r="E32" t="n">
        <v>7.1</v>
      </c>
      <c r="F32" t="n">
        <v>1</v>
      </c>
      <c r="G32" t="n">
        <v>1</v>
      </c>
      <c r="H32" t="inlineStr">
        <is>
          <t>No</t>
        </is>
      </c>
      <c r="I32" t="inlineStr"/>
      <c r="J32" t="n">
        <v>1</v>
      </c>
      <c r="K32" t="n">
        <v>1</v>
      </c>
      <c r="L32" s="5">
        <f>HYPERLINK("https://api.qogita.com/variants/link/7618900906112/", "View Product")</f>
        <v/>
      </c>
    </row>
    <row r="33">
      <c r="A33" t="inlineStr">
        <is>
          <t>7618900908017</t>
        </is>
      </c>
      <c r="B33" t="inlineStr">
        <is>
          <t>Mavala Mavala Nail Shield 2 Phases 2x10ml</t>
        </is>
      </c>
      <c r="C33" t="inlineStr">
        <is>
          <t>Nail Care Sets</t>
        </is>
      </c>
      <c r="D33" t="inlineStr">
        <is>
          <t>Mavala</t>
        </is>
      </c>
      <c r="E33" t="n">
        <v>12.06</v>
      </c>
      <c r="F33" t="n">
        <v>1</v>
      </c>
      <c r="G33" t="n">
        <v>2</v>
      </c>
      <c r="H33" t="inlineStr">
        <is>
          <t>No</t>
        </is>
      </c>
      <c r="I33" t="inlineStr"/>
      <c r="J33" t="n">
        <v>1</v>
      </c>
      <c r="K33" t="n">
        <v>2</v>
      </c>
      <c r="L33" s="5">
        <f>HYPERLINK("https://api.qogita.com/variants/link/7618900908017/", "View Product")</f>
        <v/>
      </c>
    </row>
    <row r="34">
      <c r="A34" t="inlineStr">
        <is>
          <t>7618900914056</t>
        </is>
      </c>
      <c r="B34" t="inlineStr">
        <is>
          <t>Mavala Cuticle Cream 15ml Nourishing Cuticle Care</t>
        </is>
      </c>
      <c r="C34" t="inlineStr">
        <is>
          <t>Cuticle Removers</t>
        </is>
      </c>
      <c r="D34" t="inlineStr">
        <is>
          <t>Mavala</t>
        </is>
      </c>
      <c r="E34" t="n">
        <v>5.55</v>
      </c>
      <c r="F34" t="n">
        <v>1</v>
      </c>
      <c r="G34" t="n">
        <v>15</v>
      </c>
      <c r="H34" t="inlineStr">
        <is>
          <t>No</t>
        </is>
      </c>
      <c r="I34" t="inlineStr"/>
      <c r="J34" t="n">
        <v>2</v>
      </c>
      <c r="K34" t="n">
        <v>32</v>
      </c>
      <c r="L34" s="5">
        <f>HYPERLINK("https://api.qogita.com/variants/link/7618900914056/", "View Product")</f>
        <v/>
      </c>
    </row>
    <row r="35">
      <c r="A35" t="inlineStr">
        <is>
          <t>7618900915053</t>
        </is>
      </c>
      <c r="B35" t="inlineStr">
        <is>
          <t>Mavala Mavala Cuticle Remover 10ml</t>
        </is>
      </c>
      <c r="C35" t="inlineStr">
        <is>
          <t>Cuticle Removers</t>
        </is>
      </c>
      <c r="D35" t="inlineStr">
        <is>
          <t>Mavala</t>
        </is>
      </c>
      <c r="E35" t="n">
        <v>5.47</v>
      </c>
      <c r="F35" t="n">
        <v>1</v>
      </c>
      <c r="G35" t="n">
        <v>16</v>
      </c>
      <c r="H35" t="inlineStr">
        <is>
          <t>No</t>
        </is>
      </c>
      <c r="I35" t="inlineStr"/>
      <c r="J35" t="n">
        <v>3</v>
      </c>
      <c r="K35" t="n">
        <v>67</v>
      </c>
      <c r="L35" s="5">
        <f>HYPERLINK("https://api.qogita.com/variants/link/7618900915053/", "View Product")</f>
        <v/>
      </c>
    </row>
    <row r="36">
      <c r="A36" t="inlineStr">
        <is>
          <t>7618900917040</t>
        </is>
      </c>
      <c r="B36" t="inlineStr">
        <is>
          <t>Mavala Mavapen Nourishing Cuticle Oil 45ml</t>
        </is>
      </c>
      <c r="C36" t="inlineStr">
        <is>
          <t>Nail Oil</t>
        </is>
      </c>
      <c r="D36" t="inlineStr">
        <is>
          <t>Mavala</t>
        </is>
      </c>
      <c r="E36" t="n">
        <v>9.699999999999999</v>
      </c>
      <c r="F36" t="n">
        <v>1</v>
      </c>
      <c r="G36" t="n">
        <v>4</v>
      </c>
      <c r="H36" t="inlineStr">
        <is>
          <t>No</t>
        </is>
      </c>
      <c r="I36" t="inlineStr"/>
      <c r="J36" t="n">
        <v>2</v>
      </c>
      <c r="K36" t="n">
        <v>97</v>
      </c>
      <c r="L36" s="5">
        <f>HYPERLINK("https://api.qogita.com/variants/link/7618900917040/", "View Product")</f>
        <v/>
      </c>
    </row>
    <row r="37">
      <c r="A37" t="inlineStr">
        <is>
          <t>7618900998056</t>
        </is>
      </c>
      <c r="B37" t="inlineStr">
        <is>
          <t>Mavala Mavala Mavaflex Nail Serum 10ml</t>
        </is>
      </c>
      <c r="C37" t="inlineStr">
        <is>
          <t>Nail Oil</t>
        </is>
      </c>
      <c r="D37" t="inlineStr">
        <is>
          <t>Mavala</t>
        </is>
      </c>
      <c r="E37" t="n">
        <v>7.46</v>
      </c>
      <c r="F37" t="n">
        <v>1</v>
      </c>
      <c r="G37" t="n">
        <v>35</v>
      </c>
      <c r="H37" t="inlineStr">
        <is>
          <t>No</t>
        </is>
      </c>
      <c r="I37" t="inlineStr"/>
      <c r="J37" t="n">
        <v>2</v>
      </c>
      <c r="K37" t="n">
        <v>50</v>
      </c>
      <c r="L37" s="5">
        <f>HYPERLINK("https://api.qogita.com/variants/link/7618900998056/", "View Product")</f>
        <v/>
      </c>
    </row>
    <row r="38">
      <c r="A38" t="inlineStr">
        <is>
          <t>8009518006964</t>
        </is>
      </c>
      <c r="B38" t="inlineStr">
        <is>
          <t>Deborah Milano Deborah Milano Dh Hands Nail Care Oil</t>
        </is>
      </c>
      <c r="C38" t="inlineStr">
        <is>
          <t>Nail Oil</t>
        </is>
      </c>
      <c r="D38" t="inlineStr">
        <is>
          <t>Deborah Milano</t>
        </is>
      </c>
      <c r="E38" t="n">
        <v>5.55</v>
      </c>
      <c r="F38" t="n">
        <v>1</v>
      </c>
      <c r="G38" t="n">
        <v>2</v>
      </c>
      <c r="H38" t="inlineStr">
        <is>
          <t>No</t>
        </is>
      </c>
      <c r="I38" t="inlineStr"/>
      <c r="J38" t="n">
        <v>1</v>
      </c>
      <c r="K38" t="n">
        <v>2</v>
      </c>
      <c r="L38" s="5">
        <f>HYPERLINK("https://api.qogita.com/variants/link/8009518006964/", "View Product")</f>
        <v/>
      </c>
    </row>
    <row r="39">
      <c r="A39" t="inlineStr">
        <is>
          <t>8412122050023</t>
        </is>
      </c>
      <c r="B39" t="inlineStr">
        <is>
          <t>Beter Beter Nail Trio Spare Sticks Electronic File</t>
        </is>
      </c>
      <c r="C39" t="inlineStr">
        <is>
          <t>Nail Clippers &amp; Tools</t>
        </is>
      </c>
      <c r="D39" t="inlineStr">
        <is>
          <t>Beter</t>
        </is>
      </c>
      <c r="E39" t="n">
        <v>1.35</v>
      </c>
      <c r="F39" t="n">
        <v>1</v>
      </c>
      <c r="G39" t="n">
        <v>3</v>
      </c>
      <c r="H39" t="inlineStr">
        <is>
          <t>No</t>
        </is>
      </c>
      <c r="I39" t="inlineStr"/>
      <c r="J39" t="n">
        <v>1</v>
      </c>
      <c r="K39" t="n">
        <v>3</v>
      </c>
      <c r="L39" s="5">
        <f>HYPERLINK("https://api.qogita.com/variants/link/8412122050023/", "View Product")</f>
        <v/>
      </c>
    </row>
    <row r="40">
      <c r="A40" t="inlineStr">
        <is>
          <t>8412122340674</t>
        </is>
      </c>
      <c r="B40" t="inlineStr">
        <is>
          <t>Beter Fibreglass Nail File 180220 Grain 175 Cm</t>
        </is>
      </c>
      <c r="C40" t="inlineStr">
        <is>
          <t>Nail Clippers &amp; Tools</t>
        </is>
      </c>
      <c r="D40" t="inlineStr">
        <is>
          <t>Beter</t>
        </is>
      </c>
      <c r="E40" t="n">
        <v>0.78</v>
      </c>
      <c r="F40" t="n">
        <v>1</v>
      </c>
      <c r="G40" t="n">
        <v>25</v>
      </c>
      <c r="H40" t="inlineStr">
        <is>
          <t>No</t>
        </is>
      </c>
      <c r="I40" t="inlineStr"/>
      <c r="J40" t="n">
        <v>2</v>
      </c>
      <c r="K40" t="n">
        <v>314</v>
      </c>
      <c r="L40" s="5">
        <f>HYPERLINK("https://api.qogita.com/variants/link/8412122340674/", "View Product")</f>
        <v/>
      </c>
    </row>
    <row r="41">
      <c r="A41" t="inlineStr">
        <is>
          <t>8412122400521</t>
        </is>
      </c>
      <c r="B41" t="inlineStr">
        <is>
          <t>Beter Beter Nail Care Cuticle Remover</t>
        </is>
      </c>
      <c r="C41" t="inlineStr">
        <is>
          <t>Cuticle Removers</t>
        </is>
      </c>
      <c r="D41" t="inlineStr">
        <is>
          <t>Beter</t>
        </is>
      </c>
      <c r="E41" t="n">
        <v>2.13</v>
      </c>
      <c r="F41" t="n">
        <v>1</v>
      </c>
      <c r="G41" t="n">
        <v>16</v>
      </c>
      <c r="H41" t="inlineStr">
        <is>
          <t>No</t>
        </is>
      </c>
      <c r="I41" t="inlineStr"/>
      <c r="J41" t="n">
        <v>2</v>
      </c>
      <c r="K41" t="n">
        <v>30</v>
      </c>
      <c r="L41" s="5">
        <f>HYPERLINK("https://api.qogita.com/variants/link/8412122400521/", "View Product")</f>
        <v/>
      </c>
    </row>
    <row r="42">
      <c r="A42" t="inlineStr">
        <is>
          <t>8412122400576</t>
        </is>
      </c>
      <c r="B42" t="inlineStr">
        <is>
          <t>Beter Beter Nail Care Quick Drying</t>
        </is>
      </c>
      <c r="C42" t="inlineStr">
        <is>
          <t>Nail Care Sets</t>
        </is>
      </c>
      <c r="D42" t="inlineStr">
        <is>
          <t>Beter</t>
        </is>
      </c>
      <c r="E42" t="n">
        <v>2.02</v>
      </c>
      <c r="F42" t="n">
        <v>1</v>
      </c>
      <c r="G42" t="n">
        <v>21</v>
      </c>
      <c r="H42" t="inlineStr">
        <is>
          <t>No</t>
        </is>
      </c>
      <c r="I42" t="inlineStr"/>
      <c r="J42" t="n">
        <v>2</v>
      </c>
      <c r="K42" t="n">
        <v>47</v>
      </c>
      <c r="L42" s="5">
        <f>HYPERLINK("https://api.qogita.com/variants/link/8412122400576/", "View Product")</f>
        <v/>
      </c>
    </row>
    <row r="43">
      <c r="A43" t="inlineStr">
        <is>
          <t>8412122640507</t>
        </is>
      </c>
      <c r="B43" t="inlineStr">
        <is>
          <t>Beter Elite Corundum Nail Files Pack Of 6 Units</t>
        </is>
      </c>
      <c r="C43" t="inlineStr">
        <is>
          <t>Nail Care Sets</t>
        </is>
      </c>
      <c r="D43" t="inlineStr">
        <is>
          <t>Beter</t>
        </is>
      </c>
      <c r="E43" t="n">
        <v>0.67</v>
      </c>
      <c r="F43" t="n">
        <v>1</v>
      </c>
      <c r="G43" t="n">
        <v>14</v>
      </c>
      <c r="H43" t="inlineStr">
        <is>
          <t>No</t>
        </is>
      </c>
      <c r="I43" t="inlineStr"/>
      <c r="J43" t="n">
        <v>2</v>
      </c>
      <c r="K43" t="n">
        <v>93</v>
      </c>
      <c r="L43" s="5">
        <f>HYPERLINK("https://api.qogita.com/variants/link/8412122640507/", "View Product")</f>
        <v/>
      </c>
    </row>
    <row r="44">
      <c r="A44" t="inlineStr">
        <is>
          <t>8412122640538</t>
        </is>
      </c>
      <c r="B44" t="inlineStr">
        <is>
          <t>Beter Beter Elite Tempered Glass Nail File Size 1 Unit</t>
        </is>
      </c>
      <c r="C44" t="inlineStr">
        <is>
          <t>Nail Clippers &amp; Tools</t>
        </is>
      </c>
      <c r="D44" t="inlineStr">
        <is>
          <t>Beter</t>
        </is>
      </c>
      <c r="E44" t="n">
        <v>2.73</v>
      </c>
      <c r="F44" t="n">
        <v>1</v>
      </c>
      <c r="G44" t="n">
        <v>21</v>
      </c>
      <c r="H44" t="inlineStr">
        <is>
          <t>No</t>
        </is>
      </c>
      <c r="I44" t="inlineStr"/>
      <c r="J44" t="n">
        <v>2</v>
      </c>
      <c r="K44" t="n">
        <v>36</v>
      </c>
      <c r="L44" s="5">
        <f>HYPERLINK("https://api.qogita.com/variants/link/8412122640538/", "View Product")</f>
        <v/>
      </c>
    </row>
    <row r="45">
      <c r="A45" t="inlineStr">
        <is>
          <t>8412122640545</t>
        </is>
      </c>
      <c r="B45" t="inlineStr">
        <is>
          <t>Beter Beter Elite Sapphire Nail File Size 1 Unit</t>
        </is>
      </c>
      <c r="C45" t="inlineStr">
        <is>
          <t>Nail Clippers &amp; Tools</t>
        </is>
      </c>
      <c r="D45" t="inlineStr">
        <is>
          <t>Beter</t>
        </is>
      </c>
      <c r="E45" t="n">
        <v>1.49</v>
      </c>
      <c r="F45" t="n">
        <v>1</v>
      </c>
      <c r="G45" t="n">
        <v>19</v>
      </c>
      <c r="H45" t="inlineStr">
        <is>
          <t>No</t>
        </is>
      </c>
      <c r="I45" t="inlineStr"/>
      <c r="J45" t="n">
        <v>3</v>
      </c>
      <c r="K45" t="n">
        <v>56</v>
      </c>
      <c r="L45" s="5">
        <f>HYPERLINK("https://api.qogita.com/variants/link/8412122640545/", "View Product")</f>
        <v/>
      </c>
    </row>
    <row r="46">
      <c r="A46" t="inlineStr">
        <is>
          <t>8412122640569</t>
        </is>
      </c>
      <c r="B46" t="inlineStr">
        <is>
          <t>Beter Elite Nail Clipper For Skins Size 1 Unit</t>
        </is>
      </c>
      <c r="C46" t="inlineStr">
        <is>
          <t>Nail Clippers &amp; Tools</t>
        </is>
      </c>
      <c r="D46" t="inlineStr">
        <is>
          <t>Beter</t>
        </is>
      </c>
      <c r="E46" t="n">
        <v>5.5</v>
      </c>
      <c r="F46" t="n">
        <v>1</v>
      </c>
      <c r="G46" t="n">
        <v>21</v>
      </c>
      <c r="H46" t="inlineStr">
        <is>
          <t>No</t>
        </is>
      </c>
      <c r="I46" t="inlineStr"/>
      <c r="J46" t="n">
        <v>2</v>
      </c>
      <c r="K46" t="n">
        <v>53</v>
      </c>
      <c r="L46" s="5">
        <f>HYPERLINK("https://api.qogita.com/variants/link/8412122640569/", "View Product")</f>
        <v/>
      </c>
    </row>
    <row r="47">
      <c r="A47" t="inlineStr">
        <is>
          <t>8412122640576</t>
        </is>
      </c>
      <c r="B47" t="inlineStr">
        <is>
          <t>Beter Elite Manicure Scissors For Skins Size 1 Unit</t>
        </is>
      </c>
      <c r="C47" t="inlineStr">
        <is>
          <t>Nail Clippers &amp; Tools</t>
        </is>
      </c>
      <c r="D47" t="inlineStr">
        <is>
          <t>Beter</t>
        </is>
      </c>
      <c r="E47" t="n">
        <v>5.01</v>
      </c>
      <c r="F47" t="n">
        <v>1</v>
      </c>
      <c r="G47" t="n">
        <v>20</v>
      </c>
      <c r="H47" t="inlineStr">
        <is>
          <t>No</t>
        </is>
      </c>
      <c r="I47" t="inlineStr"/>
      <c r="J47" t="n">
        <v>3</v>
      </c>
      <c r="K47" t="n">
        <v>51</v>
      </c>
      <c r="L47" s="5">
        <f>HYPERLINK("https://api.qogita.com/variants/link/8412122640576/", "View Product")</f>
        <v/>
      </c>
    </row>
    <row r="48">
      <c r="A48" t="inlineStr">
        <is>
          <t>8412122640590</t>
        </is>
      </c>
      <c r="B48" t="inlineStr">
        <is>
          <t>Beter Beter Special Pedicure Thick Nails Elite Scissors For Thick Nails Size 1 Unit</t>
        </is>
      </c>
      <c r="C48" t="inlineStr">
        <is>
          <t>Nail Clippers &amp; Tools</t>
        </is>
      </c>
      <c r="D48" t="inlineStr">
        <is>
          <t>Beter</t>
        </is>
      </c>
      <c r="E48" t="n">
        <v>4.52</v>
      </c>
      <c r="F48" t="n">
        <v>1</v>
      </c>
      <c r="G48" t="n">
        <v>24</v>
      </c>
      <c r="H48" t="inlineStr">
        <is>
          <t>No</t>
        </is>
      </c>
      <c r="I48" t="inlineStr"/>
      <c r="J48" t="n">
        <v>2</v>
      </c>
      <c r="K48" t="n">
        <v>29</v>
      </c>
      <c r="L48" s="5">
        <f>HYPERLINK("https://api.qogita.com/variants/link/8412122640590/", "View Product")</f>
        <v/>
      </c>
    </row>
    <row r="49">
      <c r="A49" t="inlineStr">
        <is>
          <t>8412122640606</t>
        </is>
      </c>
      <c r="B49" t="inlineStr">
        <is>
          <t>Beter Elite Manicure Nail Clipper Size 1 Unit</t>
        </is>
      </c>
      <c r="C49" t="inlineStr">
        <is>
          <t>Nail Clippers &amp; Tools</t>
        </is>
      </c>
      <c r="D49" t="inlineStr">
        <is>
          <t>Beter</t>
        </is>
      </c>
      <c r="E49" t="n">
        <v>1.4</v>
      </c>
      <c r="F49" t="n">
        <v>1</v>
      </c>
      <c r="G49" t="n">
        <v>26</v>
      </c>
      <c r="H49" t="inlineStr">
        <is>
          <t>No</t>
        </is>
      </c>
      <c r="I49" t="inlineStr"/>
      <c r="J49" t="n">
        <v>3</v>
      </c>
      <c r="K49" t="n">
        <v>49</v>
      </c>
      <c r="L49" s="5">
        <f>HYPERLINK("https://api.qogita.com/variants/link/8412122640606/", "View Product")</f>
        <v/>
      </c>
    </row>
    <row r="50">
      <c r="A50" t="inlineStr">
        <is>
          <t>8412122640613</t>
        </is>
      </c>
      <c r="B50" t="inlineStr">
        <is>
          <t>Beter Elite Pedicure Nail Clipper Size 1 Unit</t>
        </is>
      </c>
      <c r="C50" t="inlineStr">
        <is>
          <t>Nail Clippers &amp; Tools</t>
        </is>
      </c>
      <c r="D50" t="inlineStr">
        <is>
          <t>Beter</t>
        </is>
      </c>
      <c r="E50" t="n">
        <v>1.95</v>
      </c>
      <c r="F50" t="n">
        <v>1</v>
      </c>
      <c r="G50" t="n">
        <v>26</v>
      </c>
      <c r="H50" t="inlineStr">
        <is>
          <t>No</t>
        </is>
      </c>
      <c r="I50" t="inlineStr"/>
      <c r="J50" t="n">
        <v>3</v>
      </c>
      <c r="K50" t="n">
        <v>57</v>
      </c>
      <c r="L50" s="5">
        <f>HYPERLINK("https://api.qogita.com/variants/link/8412122640613/", "View Product")</f>
        <v/>
      </c>
    </row>
    <row r="51">
      <c r="A51" t="inlineStr">
        <is>
          <t>8412122640651</t>
        </is>
      </c>
      <c r="B51" t="inlineStr">
        <is>
          <t>Beter Cuticle Nipperpusher 64065 Essential Tool For Nail Care</t>
        </is>
      </c>
      <c r="C51" t="inlineStr">
        <is>
          <t>Nail Clippers &amp; Tools</t>
        </is>
      </c>
      <c r="D51" t="inlineStr">
        <is>
          <t>Beter</t>
        </is>
      </c>
      <c r="E51" t="n">
        <v>1.53</v>
      </c>
      <c r="F51" t="n">
        <v>1</v>
      </c>
      <c r="G51" t="n">
        <v>15</v>
      </c>
      <c r="H51" t="inlineStr">
        <is>
          <t>No</t>
        </is>
      </c>
      <c r="I51" t="inlineStr"/>
      <c r="J51" t="n">
        <v>3</v>
      </c>
      <c r="K51" t="n">
        <v>56</v>
      </c>
      <c r="L51" s="5">
        <f>HYPERLINK("https://api.qogita.com/variants/link/8412122640651/", "View Product")</f>
        <v/>
      </c>
    </row>
    <row r="52">
      <c r="A52" t="inlineStr">
        <is>
          <t>8422246204509</t>
        </is>
      </c>
      <c r="B52" t="inlineStr">
        <is>
          <t>Nurana Nail Hardener 10ml</t>
        </is>
      </c>
      <c r="C52" t="inlineStr">
        <is>
          <t>Nail Oil</t>
        </is>
      </c>
      <c r="D52" t="inlineStr">
        <is>
          <t>Nurana</t>
        </is>
      </c>
      <c r="E52" t="n">
        <v>1.44</v>
      </c>
      <c r="F52" t="n">
        <v>1</v>
      </c>
      <c r="G52" t="n">
        <v>62</v>
      </c>
      <c r="H52" t="inlineStr">
        <is>
          <t>No</t>
        </is>
      </c>
      <c r="I52" t="inlineStr"/>
      <c r="J52" t="n">
        <v>3</v>
      </c>
      <c r="K52" t="n">
        <v>203</v>
      </c>
      <c r="L52" s="5">
        <f>HYPERLINK("https://api.qogita.com/variants/link/8422246204509/", "View Product")</f>
        <v/>
      </c>
    </row>
    <row r="53">
      <c r="A53" t="inlineStr">
        <is>
          <t>8422246204516</t>
        </is>
      </c>
      <c r="B53" t="inlineStr">
        <is>
          <t>Nurana Nail Treatment Base Vitamins 10ml</t>
        </is>
      </c>
      <c r="C53" t="inlineStr">
        <is>
          <t>Nail Oil</t>
        </is>
      </c>
      <c r="D53" t="inlineStr">
        <is>
          <t>Nurana</t>
        </is>
      </c>
      <c r="E53" t="n">
        <v>1.44</v>
      </c>
      <c r="F53" t="n">
        <v>1</v>
      </c>
      <c r="G53" t="n">
        <v>7</v>
      </c>
      <c r="H53" t="inlineStr">
        <is>
          <t>No</t>
        </is>
      </c>
      <c r="I53" t="inlineStr"/>
      <c r="J53" t="n">
        <v>3</v>
      </c>
      <c r="K53" t="n">
        <v>42</v>
      </c>
      <c r="L53" s="5">
        <f>HYPERLINK("https://api.qogita.com/variants/link/8422246204516/", "View Product")</f>
        <v/>
      </c>
    </row>
    <row r="54">
      <c r="A54" t="inlineStr">
        <is>
          <t>8422246204523</t>
        </is>
      </c>
      <c r="B54" t="inlineStr">
        <is>
          <t>Nurana Nurana Cuticle Remover 10ml</t>
        </is>
      </c>
      <c r="C54" t="inlineStr">
        <is>
          <t>Cuticle Removers</t>
        </is>
      </c>
      <c r="D54" t="inlineStr">
        <is>
          <t>Nurana</t>
        </is>
      </c>
      <c r="E54" t="n">
        <v>1.44</v>
      </c>
      <c r="F54" t="n">
        <v>1</v>
      </c>
      <c r="G54" t="n">
        <v>66</v>
      </c>
      <c r="H54" t="inlineStr">
        <is>
          <t>No</t>
        </is>
      </c>
      <c r="I54" t="inlineStr"/>
      <c r="J54" t="n">
        <v>3</v>
      </c>
      <c r="K54" t="n">
        <v>201</v>
      </c>
      <c r="L54" s="5">
        <f>HYPERLINK("https://api.qogita.com/variants/link/8422246204523/", "View Product")</f>
        <v/>
      </c>
    </row>
    <row r="55">
      <c r="A55" t="inlineStr">
        <is>
          <t>8422246204554</t>
        </is>
      </c>
      <c r="B55" t="inlineStr">
        <is>
          <t>Nurana Nurana Nail Oil 10ml</t>
        </is>
      </c>
      <c r="C55" t="inlineStr">
        <is>
          <t>Nail Oil</t>
        </is>
      </c>
      <c r="D55" t="inlineStr">
        <is>
          <t>Nurana</t>
        </is>
      </c>
      <c r="E55" t="n">
        <v>1.44</v>
      </c>
      <c r="F55" t="n">
        <v>1</v>
      </c>
      <c r="G55" t="n">
        <v>10</v>
      </c>
      <c r="H55" t="inlineStr">
        <is>
          <t>No</t>
        </is>
      </c>
      <c r="I55" t="inlineStr"/>
      <c r="J55" t="n">
        <v>3</v>
      </c>
      <c r="K55" t="n">
        <v>36</v>
      </c>
      <c r="L55" s="5">
        <f>HYPERLINK("https://api.qogita.com/variants/link/8422246204554/", "View Product")</f>
        <v/>
      </c>
    </row>
    <row r="56">
      <c r="A56" t="inlineStr">
        <is>
          <t>8422246204561</t>
        </is>
      </c>
      <c r="B56" t="inlineStr">
        <is>
          <t>Nurana Nail Treatment Whitening 10ml</t>
        </is>
      </c>
      <c r="C56" t="inlineStr">
        <is>
          <t>Nail Oil</t>
        </is>
      </c>
      <c r="D56" t="inlineStr">
        <is>
          <t>Nurana</t>
        </is>
      </c>
      <c r="E56" t="n">
        <v>1.44</v>
      </c>
      <c r="F56" t="n">
        <v>1</v>
      </c>
      <c r="G56" t="n">
        <v>3</v>
      </c>
      <c r="H56" t="inlineStr">
        <is>
          <t>No</t>
        </is>
      </c>
      <c r="I56" t="inlineStr"/>
      <c r="J56" t="n">
        <v>3</v>
      </c>
      <c r="K56" t="n">
        <v>27</v>
      </c>
      <c r="L56" s="5">
        <f>HYPERLINK("https://api.qogita.com/variants/link/8422246204561/", "View Product")</f>
        <v/>
      </c>
    </row>
    <row r="57">
      <c r="A57" t="inlineStr">
        <is>
          <t>8423029044312</t>
        </is>
      </c>
      <c r="B57" t="inlineStr">
        <is>
          <t>Eurostil Nail Clippers</t>
        </is>
      </c>
      <c r="C57" t="inlineStr">
        <is>
          <t>Nail Clippers &amp; Tools</t>
        </is>
      </c>
      <c r="D57" t="inlineStr">
        <is>
          <t>Eurostil</t>
        </is>
      </c>
      <c r="E57" t="n">
        <v>8.529999999999999</v>
      </c>
      <c r="F57" t="n">
        <v>1</v>
      </c>
      <c r="G57" t="n">
        <v>3</v>
      </c>
      <c r="H57" t="inlineStr">
        <is>
          <t>No</t>
        </is>
      </c>
      <c r="I57" t="inlineStr"/>
      <c r="J57" t="n">
        <v>1</v>
      </c>
      <c r="K57" t="n">
        <v>3</v>
      </c>
      <c r="L57" s="5">
        <f>HYPERLINK("https://api.qogita.com/variants/link/8423029044312/", "View Product")</f>
        <v/>
      </c>
    </row>
    <row r="58">
      <c r="A58" t="inlineStr">
        <is>
          <t>8423029046545</t>
        </is>
      </c>
      <c r="B58" t="inlineStr">
        <is>
          <t>Eurostil Manicure Pedicure Case Set With 11 Tools</t>
        </is>
      </c>
      <c r="C58" t="inlineStr">
        <is>
          <t>Manicure Sets</t>
        </is>
      </c>
      <c r="D58" t="inlineStr">
        <is>
          <t>Eurostil</t>
        </is>
      </c>
      <c r="E58" t="n">
        <v>22.26</v>
      </c>
      <c r="F58" t="n">
        <v>1</v>
      </c>
      <c r="G58" t="n">
        <v>1</v>
      </c>
      <c r="H58" t="inlineStr">
        <is>
          <t>No</t>
        </is>
      </c>
      <c r="I58" t="inlineStr"/>
      <c r="J58" t="n">
        <v>1</v>
      </c>
      <c r="K58" t="n">
        <v>1</v>
      </c>
      <c r="L58" s="5">
        <f>HYPERLINK("https://api.qogita.com/variants/link/8423029046545/", "View Product")</f>
        <v/>
      </c>
    </row>
    <row r="59">
      <c r="A59" t="inlineStr">
        <is>
          <t>8423029064204</t>
        </is>
      </c>
      <c r="B59" t="inlineStr">
        <is>
          <t>Eurostil Eurostil Curved Padded Nail File 175mm Black Pack Of 12</t>
        </is>
      </c>
      <c r="C59" t="inlineStr">
        <is>
          <t>Manicure Sets</t>
        </is>
      </c>
      <c r="D59" t="inlineStr">
        <is>
          <t>Eurostil</t>
        </is>
      </c>
      <c r="E59" t="n">
        <v>3.07</v>
      </c>
      <c r="F59" t="n">
        <v>1</v>
      </c>
      <c r="G59" t="n">
        <v>3</v>
      </c>
      <c r="H59" t="inlineStr">
        <is>
          <t>No</t>
        </is>
      </c>
      <c r="I59" t="inlineStr"/>
      <c r="J59" t="n">
        <v>1</v>
      </c>
      <c r="K59" t="n">
        <v>3</v>
      </c>
      <c r="L59" s="5">
        <f>HYPERLINK("https://api.qogita.com/variants/link/8423029064204/", "View Product")</f>
        <v/>
      </c>
    </row>
    <row r="60">
      <c r="A60" t="inlineStr">
        <is>
          <t>8423029069148</t>
        </is>
      </c>
      <c r="B60" t="inlineStr">
        <is>
          <t>Eurostil Eurostil Acrylic Base For Nails 9g</t>
        </is>
      </c>
      <c r="C60" t="inlineStr">
        <is>
          <t>Nail Care Sets</t>
        </is>
      </c>
      <c r="D60" t="inlineStr">
        <is>
          <t>Eurostil</t>
        </is>
      </c>
      <c r="E60" t="n">
        <v>9.050000000000001</v>
      </c>
      <c r="F60" t="n">
        <v>1</v>
      </c>
      <c r="G60" t="n">
        <v>1</v>
      </c>
      <c r="H60" t="inlineStr">
        <is>
          <t>No</t>
        </is>
      </c>
      <c r="I60" t="inlineStr"/>
      <c r="J60" t="n">
        <v>1</v>
      </c>
      <c r="K60" t="n">
        <v>1</v>
      </c>
      <c r="L60" s="5">
        <f>HYPERLINK("https://api.qogita.com/variants/link/8423029069148/", "View Product")</f>
        <v/>
      </c>
    </row>
    <row r="61">
      <c r="A61" t="inlineStr">
        <is>
          <t>8423029070908</t>
        </is>
      </c>
      <c r="B61" t="inlineStr">
        <is>
          <t>Eurostil American Nail File 180mm Black Pack Of 50</t>
        </is>
      </c>
      <c r="C61" t="inlineStr">
        <is>
          <t>Nail Clippers &amp; Tools</t>
        </is>
      </c>
      <c r="D61" t="inlineStr">
        <is>
          <t>Eurostil</t>
        </is>
      </c>
      <c r="E61" t="n">
        <v>4.28</v>
      </c>
      <c r="F61" t="n">
        <v>1</v>
      </c>
      <c r="G61" t="n">
        <v>1</v>
      </c>
      <c r="H61" t="inlineStr">
        <is>
          <t>No</t>
        </is>
      </c>
      <c r="I61" t="inlineStr"/>
      <c r="J61" t="n">
        <v>1</v>
      </c>
      <c r="K61" t="n">
        <v>1</v>
      </c>
      <c r="L61" s="5">
        <f>HYPERLINK("https://api.qogita.com/variants/link/8423029070908/", "View Product")</f>
        <v/>
      </c>
    </row>
    <row r="62">
      <c r="A62" t="inlineStr">
        <is>
          <t>8423372025051</t>
        </is>
      </c>
      <c r="B62" t="inlineStr">
        <is>
          <t>Pilopeptan Pilopeptan Woman Nail Repair Gel 10ml</t>
        </is>
      </c>
      <c r="C62" t="inlineStr">
        <is>
          <t>Nail Oil</t>
        </is>
      </c>
      <c r="D62" t="inlineStr">
        <is>
          <t>Pilopeptan</t>
        </is>
      </c>
      <c r="E62" t="n">
        <v>4.23</v>
      </c>
      <c r="F62" t="n">
        <v>1</v>
      </c>
      <c r="G62" t="n">
        <v>10</v>
      </c>
      <c r="H62" t="inlineStr">
        <is>
          <t>No</t>
        </is>
      </c>
      <c r="I62" t="inlineStr"/>
      <c r="J62" t="n">
        <v>2</v>
      </c>
      <c r="K62" t="n">
        <v>13</v>
      </c>
      <c r="L62" s="5">
        <f>HYPERLINK("https://api.qogita.com/variants/link/8423372025051/", "View Product")</f>
        <v/>
      </c>
    </row>
    <row r="63">
      <c r="A63" t="inlineStr">
        <is>
          <t>8423872005027</t>
        </is>
      </c>
      <c r="B63" t="inlineStr">
        <is>
          <t>Peusek Peusek Argan And Aloe Vera Nails 2ml</t>
        </is>
      </c>
      <c r="C63" t="inlineStr">
        <is>
          <t>Nail Oil</t>
        </is>
      </c>
      <c r="D63" t="inlineStr">
        <is>
          <t>Punsék</t>
        </is>
      </c>
      <c r="E63" t="n">
        <v>5.27</v>
      </c>
      <c r="F63" t="n">
        <v>1</v>
      </c>
      <c r="G63" t="n">
        <v>3</v>
      </c>
      <c r="H63" t="inlineStr">
        <is>
          <t>No</t>
        </is>
      </c>
      <c r="I63" t="inlineStr"/>
      <c r="J63" t="n">
        <v>2</v>
      </c>
      <c r="K63" t="n">
        <v>13</v>
      </c>
      <c r="L63" s="5">
        <f>HYPERLINK("https://api.qogita.com/variants/link/8423872005027/", "View Product")</f>
        <v/>
      </c>
    </row>
    <row r="64">
      <c r="A64" t="inlineStr">
        <is>
          <t>8430442000207</t>
        </is>
      </c>
      <c r="B64" t="inlineStr">
        <is>
          <t>Mussvital Mussvital Nail Hardener 14ml</t>
        </is>
      </c>
      <c r="C64" t="inlineStr">
        <is>
          <t>Nail Care Sets</t>
        </is>
      </c>
      <c r="D64" t="inlineStr">
        <is>
          <t>Mussvital</t>
        </is>
      </c>
      <c r="E64" t="n">
        <v>5.06</v>
      </c>
      <c r="F64" t="n">
        <v>1</v>
      </c>
      <c r="G64" t="n">
        <v>10</v>
      </c>
      <c r="H64" t="inlineStr">
        <is>
          <t>No</t>
        </is>
      </c>
      <c r="I64" t="inlineStr"/>
      <c r="J64" t="n">
        <v>1</v>
      </c>
      <c r="K64" t="n">
        <v>10</v>
      </c>
      <c r="L64" s="5">
        <f>HYPERLINK("https://api.qogita.com/variants/link/8430442000207/", "View Product")</f>
        <v/>
      </c>
    </row>
    <row r="65">
      <c r="A65" t="inlineStr">
        <is>
          <t>8430835000012</t>
        </is>
      </c>
      <c r="B65" t="inlineStr">
        <is>
          <t>Nagelfeile Corindon T.Peq Maf Para2</t>
        </is>
      </c>
      <c r="C65" t="inlineStr">
        <is>
          <t>Nail Care</t>
        </is>
      </c>
      <c r="D65" t="inlineStr">
        <is>
          <t>Pampers</t>
        </is>
      </c>
      <c r="E65" t="n">
        <v>2.6</v>
      </c>
      <c r="F65" t="n">
        <v>1</v>
      </c>
      <c r="G65" t="n">
        <v>10</v>
      </c>
      <c r="H65" t="inlineStr">
        <is>
          <t>No</t>
        </is>
      </c>
      <c r="I65" t="inlineStr"/>
      <c r="J65" t="n">
        <v>1</v>
      </c>
      <c r="K65" t="n">
        <v>10</v>
      </c>
      <c r="L65" s="5">
        <f>HYPERLINK("https://api.qogita.com/variants/link/8430835000012/", "View Product")</f>
        <v/>
      </c>
    </row>
    <row r="66">
      <c r="A66" t="inlineStr">
        <is>
          <t>8430835000319</t>
        </is>
      </c>
      <c r="B66" t="inlineStr">
        <is>
          <t>Maf Maf Manicure Scissors</t>
        </is>
      </c>
      <c r="C66" t="inlineStr">
        <is>
          <t>Nail Clippers &amp; Tools</t>
        </is>
      </c>
      <c r="D66" t="inlineStr">
        <is>
          <t>Maf</t>
        </is>
      </c>
      <c r="E66" t="n">
        <v>9.130000000000001</v>
      </c>
      <c r="F66" t="n">
        <v>1</v>
      </c>
      <c r="G66" t="n">
        <v>10</v>
      </c>
      <c r="H66" t="inlineStr">
        <is>
          <t>No</t>
        </is>
      </c>
      <c r="I66" t="inlineStr"/>
      <c r="J66" t="n">
        <v>1</v>
      </c>
      <c r="K66" t="n">
        <v>10</v>
      </c>
      <c r="L66" s="5">
        <f>HYPERLINK("https://api.qogita.com/variants/link/8430835000319/", "View Product")</f>
        <v/>
      </c>
    </row>
    <row r="67">
      <c r="A67" t="inlineStr">
        <is>
          <t>8430835000500</t>
        </is>
      </c>
      <c r="B67" t="inlineStr">
        <is>
          <t>Pedicure Pliers Nickel T.Peq Maf Para2</t>
        </is>
      </c>
      <c r="C67" t="inlineStr">
        <is>
          <t>Nail Clippers &amp; Tools</t>
        </is>
      </c>
      <c r="D67" t="inlineStr">
        <is>
          <t>Pampers</t>
        </is>
      </c>
      <c r="E67" t="n">
        <v>25.44</v>
      </c>
      <c r="F67" t="n">
        <v>1</v>
      </c>
      <c r="G67" t="n">
        <v>10</v>
      </c>
      <c r="H67" t="inlineStr">
        <is>
          <t>No</t>
        </is>
      </c>
      <c r="I67" t="inlineStr"/>
      <c r="J67" t="n">
        <v>1</v>
      </c>
      <c r="K67" t="n">
        <v>10</v>
      </c>
      <c r="L67" s="5">
        <f>HYPERLINK("https://api.qogita.com/variants/link/8430835000500/", "View Product")</f>
        <v/>
      </c>
    </row>
    <row r="68">
      <c r="A68" t="inlineStr">
        <is>
          <t>8430835000517</t>
        </is>
      </c>
      <c r="B68" t="inlineStr">
        <is>
          <t>Maf Large Nickel Pedicure Nipper</t>
        </is>
      </c>
      <c r="C68" t="inlineStr">
        <is>
          <t>Nail Clippers &amp; Tools</t>
        </is>
      </c>
      <c r="D68" t="inlineStr">
        <is>
          <t>Maf</t>
        </is>
      </c>
      <c r="E68" t="n">
        <v>20.48</v>
      </c>
      <c r="F68" t="n">
        <v>1</v>
      </c>
      <c r="G68" t="n">
        <v>10</v>
      </c>
      <c r="H68" t="inlineStr">
        <is>
          <t>No</t>
        </is>
      </c>
      <c r="I68" t="inlineStr"/>
      <c r="J68" t="n">
        <v>1</v>
      </c>
      <c r="K68" t="n">
        <v>10</v>
      </c>
      <c r="L68" s="5">
        <f>HYPERLINK("https://api.qogita.com/variants/link/8430835000517/", "View Product")</f>
        <v/>
      </c>
    </row>
    <row r="69">
      <c r="A69" t="inlineStr">
        <is>
          <t>8430835000708</t>
        </is>
      </c>
      <c r="B69" t="inlineStr">
        <is>
          <t>Maf Cuticle Nipper</t>
        </is>
      </c>
      <c r="C69" t="inlineStr">
        <is>
          <t>Nail Clippers &amp; Tools</t>
        </is>
      </c>
      <c r="D69" t="inlineStr">
        <is>
          <t>Maf</t>
        </is>
      </c>
      <c r="E69" t="n">
        <v>7.75</v>
      </c>
      <c r="F69" t="n">
        <v>1</v>
      </c>
      <c r="G69" t="n">
        <v>10</v>
      </c>
      <c r="H69" t="inlineStr">
        <is>
          <t>No</t>
        </is>
      </c>
      <c r="I69" t="inlineStr"/>
      <c r="J69" t="n">
        <v>1</v>
      </c>
      <c r="K69" t="n">
        <v>10</v>
      </c>
      <c r="L69" s="5">
        <f>HYPERLINK("https://api.qogita.com/variants/link/8430835000708/", "View Product")</f>
        <v/>
      </c>
    </row>
    <row r="70">
      <c r="A70" t="inlineStr">
        <is>
          <t>8430835000807</t>
        </is>
      </c>
      <c r="B70" t="inlineStr">
        <is>
          <t>MAF M Nail Clippers</t>
        </is>
      </c>
      <c r="C70" t="inlineStr">
        <is>
          <t>Nail Clippers &amp; Tools</t>
        </is>
      </c>
      <c r="D70" t="inlineStr">
        <is>
          <t>Cortauã</t>
        </is>
      </c>
      <c r="E70" t="n">
        <v>3.15</v>
      </c>
      <c r="F70" t="n">
        <v>1</v>
      </c>
      <c r="G70" t="n">
        <v>10</v>
      </c>
      <c r="H70" t="inlineStr">
        <is>
          <t>No</t>
        </is>
      </c>
      <c r="I70" t="inlineStr"/>
      <c r="J70" t="n">
        <v>1</v>
      </c>
      <c r="K70" t="n">
        <v>10</v>
      </c>
      <c r="L70" s="5">
        <f>HYPERLINK("https://api.qogita.com/variants/link/8430835000807/", "View Product")</f>
        <v/>
      </c>
    </row>
    <row r="71">
      <c r="A71" t="inlineStr">
        <is>
          <t>8431082070827</t>
        </is>
      </c>
      <c r="B71" t="inlineStr">
        <is>
          <t>Prim Prim Comforsil Extra Thin Finger Separator M</t>
        </is>
      </c>
      <c r="C71" t="inlineStr">
        <is>
          <t>Nail Clippers &amp; Tools</t>
        </is>
      </c>
      <c r="D71" t="inlineStr">
        <is>
          <t>Prim</t>
        </is>
      </c>
      <c r="E71" t="n">
        <v>5.34</v>
      </c>
      <c r="F71" t="n">
        <v>1</v>
      </c>
      <c r="G71" t="n">
        <v>20</v>
      </c>
      <c r="H71" t="inlineStr">
        <is>
          <t>No</t>
        </is>
      </c>
      <c r="I71" t="inlineStr"/>
      <c r="J71" t="n">
        <v>1</v>
      </c>
      <c r="K71" t="n">
        <v>20</v>
      </c>
      <c r="L71" s="5">
        <f>HYPERLINK("https://api.qogita.com/variants/link/8431082070827/", "View Product")</f>
        <v/>
      </c>
    </row>
    <row r="72">
      <c r="A72" t="inlineStr">
        <is>
          <t>8431082071220</t>
        </is>
      </c>
      <c r="B72" t="inlineStr">
        <is>
          <t>Prim Prim Comforgel Thimble Gel Stretch Fabric Size L</t>
        </is>
      </c>
      <c r="C72" t="inlineStr">
        <is>
          <t>Nail Clippers &amp; Tools</t>
        </is>
      </c>
      <c r="D72" t="inlineStr">
        <is>
          <t>Prim</t>
        </is>
      </c>
      <c r="E72" t="n">
        <v>6.22</v>
      </c>
      <c r="F72" t="n">
        <v>1</v>
      </c>
      <c r="G72" t="n">
        <v>10</v>
      </c>
      <c r="H72" t="inlineStr">
        <is>
          <t>No</t>
        </is>
      </c>
      <c r="I72" t="inlineStr"/>
      <c r="J72" t="n">
        <v>1</v>
      </c>
      <c r="K72" t="n">
        <v>10</v>
      </c>
      <c r="L72" s="5">
        <f>HYPERLINK("https://api.qogita.com/variants/link/8431082071220/", "View Product")</f>
        <v/>
      </c>
    </row>
    <row r="73">
      <c r="A73" t="inlineStr">
        <is>
          <t>8436025306889</t>
        </is>
      </c>
      <c r="B73" t="inlineStr">
        <is>
          <t>Idc Institute Crystal Nail File</t>
        </is>
      </c>
      <c r="C73" t="inlineStr">
        <is>
          <t>Nail Clippers &amp; Tools</t>
        </is>
      </c>
      <c r="D73" t="inlineStr">
        <is>
          <t>Idc Institute</t>
        </is>
      </c>
      <c r="E73" t="n">
        <v>0.76</v>
      </c>
      <c r="F73" t="n">
        <v>1</v>
      </c>
      <c r="G73" t="n">
        <v>4</v>
      </c>
      <c r="H73" t="inlineStr">
        <is>
          <t>No</t>
        </is>
      </c>
      <c r="I73" t="inlineStr"/>
      <c r="J73" t="n">
        <v>1</v>
      </c>
      <c r="K73" t="n">
        <v>4</v>
      </c>
      <c r="L73" s="5">
        <f>HYPERLINK("https://api.qogita.com/variants/link/8436025306889/", "View Product")</f>
        <v/>
      </c>
    </row>
    <row r="74">
      <c r="A74" t="inlineStr">
        <is>
          <t>8436591924531</t>
        </is>
      </c>
      <c r="B74" t="inlineStr">
        <is>
          <t>IDC Institute Manicure Set</t>
        </is>
      </c>
      <c r="C74" t="inlineStr">
        <is>
          <t>Manicure Sets</t>
        </is>
      </c>
      <c r="D74" t="inlineStr">
        <is>
          <t>Idc</t>
        </is>
      </c>
      <c r="E74" t="n">
        <v>3.64</v>
      </c>
      <c r="F74" t="n">
        <v>1</v>
      </c>
      <c r="G74" t="n">
        <v>10</v>
      </c>
      <c r="H74" t="inlineStr">
        <is>
          <t>No</t>
        </is>
      </c>
      <c r="I74" t="inlineStr"/>
      <c r="J74" t="n">
        <v>1</v>
      </c>
      <c r="K74" t="n">
        <v>10</v>
      </c>
      <c r="L74" s="5">
        <f>HYPERLINK("https://api.qogita.com/variants/link/8436591924531/", "View Product")</f>
        <v/>
      </c>
    </row>
    <row r="75">
      <c r="A75" t="inlineStr">
        <is>
          <t>8436609398767</t>
        </is>
      </c>
      <c r="B75" t="inlineStr">
        <is>
          <t>Martinelia Galaxy Dreams Manicure Set</t>
        </is>
      </c>
      <c r="C75" t="inlineStr">
        <is>
          <t>Manicure Sets</t>
        </is>
      </c>
      <c r="D75" t="inlineStr">
        <is>
          <t>Martinelia</t>
        </is>
      </c>
      <c r="E75" t="n">
        <v>2.49</v>
      </c>
      <c r="F75" t="n">
        <v>1</v>
      </c>
      <c r="G75" t="n">
        <v>4</v>
      </c>
      <c r="H75" t="inlineStr">
        <is>
          <t>No</t>
        </is>
      </c>
      <c r="I75" t="inlineStr"/>
      <c r="J75" t="n">
        <v>1</v>
      </c>
      <c r="K75" t="n">
        <v>4</v>
      </c>
      <c r="L75" s="5">
        <f>HYPERLINK("https://api.qogita.com/variants/link/8436609398767/", "View Product")</f>
        <v/>
      </c>
    </row>
    <row r="76">
      <c r="A76" t="inlineStr">
        <is>
          <t>8437003508394</t>
        </is>
      </c>
      <c r="B76" t="inlineStr">
        <is>
          <t>Hidrotelial Hidrotelial Nail Care 15ml</t>
        </is>
      </c>
      <c r="C76" t="inlineStr">
        <is>
          <t>Nail Oil</t>
        </is>
      </c>
      <c r="D76" t="inlineStr">
        <is>
          <t>Hidrotelial</t>
        </is>
      </c>
      <c r="E76" t="n">
        <v>8.51</v>
      </c>
      <c r="F76" t="n">
        <v>1</v>
      </c>
      <c r="G76" t="n">
        <v>10</v>
      </c>
      <c r="H76" t="inlineStr">
        <is>
          <t>No</t>
        </is>
      </c>
      <c r="I76" t="inlineStr"/>
      <c r="J76" t="n">
        <v>1</v>
      </c>
      <c r="K76" t="n">
        <v>10</v>
      </c>
      <c r="L76" s="5">
        <f>HYPERLINK("https://api.qogita.com/variants/link/8437003508394/", "View Product")</f>
        <v/>
      </c>
    </row>
    <row r="77">
      <c r="A77" t="inlineStr">
        <is>
          <t>8470001594570</t>
        </is>
      </c>
      <c r="B77" t="inlineStr">
        <is>
          <t>Beter Beter Pedicure Scissors Special Thick Nails</t>
        </is>
      </c>
      <c r="C77" t="inlineStr">
        <is>
          <t>Nail Clippers &amp; Tools</t>
        </is>
      </c>
      <c r="D77" t="inlineStr">
        <is>
          <t>Beter</t>
        </is>
      </c>
      <c r="E77" t="n">
        <v>9.06</v>
      </c>
      <c r="F77" t="n">
        <v>1</v>
      </c>
      <c r="G77" t="n">
        <v>10</v>
      </c>
      <c r="H77" t="inlineStr">
        <is>
          <t>No</t>
        </is>
      </c>
      <c r="I77" t="inlineStr"/>
      <c r="J77" t="n">
        <v>1</v>
      </c>
      <c r="K77" t="n">
        <v>10</v>
      </c>
      <c r="L77" s="5">
        <f>HYPERLINK("https://api.qogita.com/variants/link/8470001594570/", "View Product")</f>
        <v/>
      </c>
    </row>
    <row r="78">
      <c r="A78" t="inlineStr">
        <is>
          <t>8470001783011</t>
        </is>
      </c>
      <c r="B78" t="inlineStr">
        <is>
          <t>Beter Beter Orange Stick Pusher 5 Units</t>
        </is>
      </c>
      <c r="C78" t="inlineStr">
        <is>
          <t>Nail Clippers &amp; Tools</t>
        </is>
      </c>
      <c r="D78" t="inlineStr">
        <is>
          <t>Beter</t>
        </is>
      </c>
      <c r="E78" t="n">
        <v>2.05</v>
      </c>
      <c r="F78" t="n">
        <v>1</v>
      </c>
      <c r="G78" t="n">
        <v>20</v>
      </c>
      <c r="H78" t="inlineStr">
        <is>
          <t>No</t>
        </is>
      </c>
      <c r="I78" t="inlineStr"/>
      <c r="J78" t="n">
        <v>1</v>
      </c>
      <c r="K78" t="n">
        <v>20</v>
      </c>
      <c r="L78" s="5">
        <f>HYPERLINK("https://api.qogita.com/variants/link/8470001783011/", "View Product")</f>
        <v/>
      </c>
    </row>
    <row r="79">
      <c r="A79" t="inlineStr">
        <is>
          <t>8470001783196</t>
        </is>
      </c>
      <c r="B79" t="inlineStr">
        <is>
          <t>Beter Professional Nail Polisher 173cm</t>
        </is>
      </c>
      <c r="C79" t="inlineStr">
        <is>
          <t>Nail Clippers &amp; Tools</t>
        </is>
      </c>
      <c r="D79" t="inlineStr">
        <is>
          <t>Beter</t>
        </is>
      </c>
      <c r="E79" t="n">
        <v>3.44</v>
      </c>
      <c r="F79" t="n">
        <v>1</v>
      </c>
      <c r="G79" t="n">
        <v>10</v>
      </c>
      <c r="H79" t="inlineStr">
        <is>
          <t>No</t>
        </is>
      </c>
      <c r="I79" t="inlineStr"/>
      <c r="J79" t="n">
        <v>1</v>
      </c>
      <c r="K79" t="n">
        <v>10</v>
      </c>
      <c r="L79" s="5">
        <f>HYPERLINK("https://api.qogita.com/variants/link/8470001783196/", "View Product")</f>
        <v/>
      </c>
    </row>
    <row r="80">
      <c r="A80" t="inlineStr">
        <is>
          <t>8470002039186</t>
        </is>
      </c>
      <c r="B80" t="inlineStr">
        <is>
          <t>Unglax Nail Experts Regenerating Booster 10 Ml</t>
        </is>
      </c>
      <c r="C80" t="inlineStr">
        <is>
          <t>Nail Oil</t>
        </is>
      </c>
      <c r="D80" t="inlineStr">
        <is>
          <t>Unglax</t>
        </is>
      </c>
      <c r="E80" t="n">
        <v>10.48</v>
      </c>
      <c r="F80" t="n">
        <v>1</v>
      </c>
      <c r="G80" t="n">
        <v>10</v>
      </c>
      <c r="H80" t="inlineStr">
        <is>
          <t>No</t>
        </is>
      </c>
      <c r="I80" t="inlineStr"/>
      <c r="J80" t="n">
        <v>1</v>
      </c>
      <c r="K80" t="n">
        <v>10</v>
      </c>
      <c r="L80" s="5">
        <f>HYPERLINK("https://api.qogita.com/variants/link/8470002039186/", "View Product")</f>
        <v/>
      </c>
    </row>
    <row r="81">
      <c r="A81" t="inlineStr">
        <is>
          <t>8470002396937</t>
        </is>
      </c>
      <c r="B81" t="inlineStr">
        <is>
          <t>Beter Beter Pedicure Nail Clippers Steel</t>
        </is>
      </c>
      <c r="C81" t="inlineStr">
        <is>
          <t>Nail Clippers &amp; Tools</t>
        </is>
      </c>
      <c r="D81" t="inlineStr">
        <is>
          <t>Beter</t>
        </is>
      </c>
      <c r="E81" t="n">
        <v>3.12</v>
      </c>
      <c r="F81" t="n">
        <v>1</v>
      </c>
      <c r="G81" t="n">
        <v>20</v>
      </c>
      <c r="H81" t="inlineStr">
        <is>
          <t>No</t>
        </is>
      </c>
      <c r="I81" t="inlineStr"/>
      <c r="J81" t="n">
        <v>1</v>
      </c>
      <c r="K81" t="n">
        <v>20</v>
      </c>
      <c r="L81" s="5">
        <f>HYPERLINK("https://api.qogita.com/variants/link/8470002396937/", "View Product")</f>
        <v/>
      </c>
    </row>
    <row r="82">
      <c r="A82" t="inlineStr">
        <is>
          <t>8470002396951</t>
        </is>
      </c>
      <c r="B82" t="inlineStr">
        <is>
          <t>Beter Beter Nail File Fiberglass 4 Sides</t>
        </is>
      </c>
      <c r="C82" t="inlineStr">
        <is>
          <t>Nail Clippers &amp; Tools</t>
        </is>
      </c>
      <c r="D82" t="inlineStr">
        <is>
          <t>Beter</t>
        </is>
      </c>
      <c r="E82" t="n">
        <v>2.51</v>
      </c>
      <c r="F82" t="n">
        <v>1</v>
      </c>
      <c r="G82" t="n">
        <v>10</v>
      </c>
      <c r="H82" t="inlineStr">
        <is>
          <t>No</t>
        </is>
      </c>
      <c r="I82" t="inlineStr"/>
      <c r="J82" t="n">
        <v>1</v>
      </c>
      <c r="K82" t="n">
        <v>10</v>
      </c>
      <c r="L82" s="5">
        <f>HYPERLINK("https://api.qogita.com/variants/link/8470002396951/", "View Product")</f>
        <v/>
      </c>
    </row>
    <row r="83">
      <c r="A83" t="inlineStr">
        <is>
          <t>8470002396968</t>
        </is>
      </c>
      <c r="B83" t="inlineStr">
        <is>
          <t>Beter Beter Fiberglass Fantasy File 1 Unit</t>
        </is>
      </c>
      <c r="C83" t="inlineStr">
        <is>
          <t>Nail Clippers &amp; Tools</t>
        </is>
      </c>
      <c r="D83" t="inlineStr">
        <is>
          <t>Beter</t>
        </is>
      </c>
      <c r="E83" t="n">
        <v>2.51</v>
      </c>
      <c r="F83" t="n">
        <v>1</v>
      </c>
      <c r="G83" t="n">
        <v>20</v>
      </c>
      <c r="H83" t="inlineStr">
        <is>
          <t>No</t>
        </is>
      </c>
      <c r="I83" t="inlineStr"/>
      <c r="J83" t="n">
        <v>1</v>
      </c>
      <c r="K83" t="n">
        <v>20</v>
      </c>
      <c r="L83" s="5">
        <f>HYPERLINK("https://api.qogita.com/variants/link/8470002396968/", "View Product")</f>
        <v/>
      </c>
    </row>
    <row r="84">
      <c r="A84" t="inlineStr">
        <is>
          <t>8470002396975</t>
        </is>
      </c>
      <c r="B84" t="inlineStr">
        <is>
          <t>Beter Phosphorescent Fiberglass File</t>
        </is>
      </c>
      <c r="C84" t="inlineStr">
        <is>
          <t>Nail Clippers &amp; Tools</t>
        </is>
      </c>
      <c r="D84" t="inlineStr">
        <is>
          <t>Beter</t>
        </is>
      </c>
      <c r="E84" t="n">
        <v>2.65</v>
      </c>
      <c r="F84" t="n">
        <v>1</v>
      </c>
      <c r="G84" t="n">
        <v>20</v>
      </c>
      <c r="H84" t="inlineStr">
        <is>
          <t>No</t>
        </is>
      </c>
      <c r="I84" t="inlineStr"/>
      <c r="J84" t="n">
        <v>1</v>
      </c>
      <c r="K84" t="n">
        <v>20</v>
      </c>
      <c r="L84" s="5">
        <f>HYPERLINK("https://api.qogita.com/variants/link/8470002396975/", "View Product")</f>
        <v/>
      </c>
    </row>
    <row r="85">
      <c r="A85" t="inlineStr">
        <is>
          <t>8470002399396</t>
        </is>
      </c>
      <c r="B85" t="inlineStr">
        <is>
          <t>Beter Cuticle Scissors Curved Chrome</t>
        </is>
      </c>
      <c r="C85" t="inlineStr">
        <is>
          <t>Nail Clippers &amp; Tools</t>
        </is>
      </c>
      <c r="D85" t="inlineStr">
        <is>
          <t>Beter</t>
        </is>
      </c>
      <c r="E85" t="n">
        <v>7.23</v>
      </c>
      <c r="F85" t="n">
        <v>1</v>
      </c>
      <c r="G85" t="n">
        <v>20</v>
      </c>
      <c r="H85" t="inlineStr">
        <is>
          <t>No</t>
        </is>
      </c>
      <c r="I85" t="inlineStr"/>
      <c r="J85" t="n">
        <v>1</v>
      </c>
      <c r="K85" t="n">
        <v>20</v>
      </c>
      <c r="L85" s="5">
        <f>HYPERLINK("https://api.qogita.com/variants/link/8470002399396/", "View Product")</f>
        <v/>
      </c>
    </row>
    <row r="86">
      <c r="A86" t="inlineStr">
        <is>
          <t>8470002399471</t>
        </is>
      </c>
      <c r="B86" t="inlineStr">
        <is>
          <t>Beter Beter Manicure Nail Scissors Curved Chromed</t>
        </is>
      </c>
      <c r="C86" t="inlineStr">
        <is>
          <t>Nail Clippers &amp; Tools</t>
        </is>
      </c>
      <c r="D86" t="inlineStr">
        <is>
          <t>Beter</t>
        </is>
      </c>
      <c r="E86" t="n">
        <v>7.23</v>
      </c>
      <c r="F86" t="n">
        <v>1</v>
      </c>
      <c r="G86" t="n">
        <v>20</v>
      </c>
      <c r="H86" t="inlineStr">
        <is>
          <t>No</t>
        </is>
      </c>
      <c r="I86" t="inlineStr"/>
      <c r="J86" t="n">
        <v>1</v>
      </c>
      <c r="K86" t="n">
        <v>20</v>
      </c>
      <c r="L86" s="5">
        <f>HYPERLINK("https://api.qogita.com/variants/link/8470002399471/", "View Product")</f>
        <v/>
      </c>
    </row>
    <row r="87">
      <c r="A87" t="inlineStr">
        <is>
          <t>8470002399624</t>
        </is>
      </c>
      <c r="B87" t="inlineStr">
        <is>
          <t>Beter Beter Manicure Nippers Stainless Steel</t>
        </is>
      </c>
      <c r="C87" t="inlineStr">
        <is>
          <t>Nail Clippers &amp; Tools</t>
        </is>
      </c>
      <c r="D87" t="inlineStr">
        <is>
          <t>Beter</t>
        </is>
      </c>
      <c r="E87" t="n">
        <v>9.48</v>
      </c>
      <c r="F87" t="n">
        <v>1</v>
      </c>
      <c r="G87" t="n">
        <v>20</v>
      </c>
      <c r="H87" t="inlineStr">
        <is>
          <t>No</t>
        </is>
      </c>
      <c r="I87" t="inlineStr"/>
      <c r="J87" t="n">
        <v>1</v>
      </c>
      <c r="K87" t="n">
        <v>20</v>
      </c>
      <c r="L87" s="5">
        <f>HYPERLINK("https://api.qogita.com/variants/link/8470002399624/", "View Product")</f>
        <v/>
      </c>
    </row>
    <row r="88">
      <c r="A88" t="inlineStr">
        <is>
          <t>8470002428003</t>
        </is>
      </c>
      <c r="B88" t="inlineStr">
        <is>
          <t>Beter Beter Nail Cutter With File Manicure</t>
        </is>
      </c>
      <c r="C88" t="inlineStr">
        <is>
          <t>Nail Clippers &amp; Tools</t>
        </is>
      </c>
      <c r="D88" t="inlineStr">
        <is>
          <t>Beter</t>
        </is>
      </c>
      <c r="E88" t="n">
        <v>2.68</v>
      </c>
      <c r="F88" t="n">
        <v>1</v>
      </c>
      <c r="G88" t="n">
        <v>20</v>
      </c>
      <c r="H88" t="inlineStr">
        <is>
          <t>No</t>
        </is>
      </c>
      <c r="I88" t="inlineStr"/>
      <c r="J88" t="n">
        <v>1</v>
      </c>
      <c r="K88" t="n">
        <v>20</v>
      </c>
      <c r="L88" s="5">
        <f>HYPERLINK("https://api.qogita.com/variants/link/8470002428003/", "View Product")</f>
        <v/>
      </c>
    </row>
    <row r="89">
      <c r="A89" t="inlineStr">
        <is>
          <t>8470002428188</t>
        </is>
      </c>
      <c r="B89" t="inlineStr">
        <is>
          <t>Beter Nail Clipper Pedicure Chrome</t>
        </is>
      </c>
      <c r="C89" t="inlineStr">
        <is>
          <t>Nail Clippers &amp; Tools</t>
        </is>
      </c>
      <c r="D89" t="inlineStr">
        <is>
          <t>Beter</t>
        </is>
      </c>
      <c r="E89" t="n">
        <v>3.04</v>
      </c>
      <c r="F89" t="n">
        <v>1</v>
      </c>
      <c r="G89" t="n">
        <v>30</v>
      </c>
      <c r="H89" t="inlineStr">
        <is>
          <t>No</t>
        </is>
      </c>
      <c r="I89" t="inlineStr"/>
      <c r="J89" t="n">
        <v>1</v>
      </c>
      <c r="K89" t="n">
        <v>30</v>
      </c>
      <c r="L89" s="5">
        <f>HYPERLINK("https://api.qogita.com/variants/link/8470002428188/", "View Product")</f>
        <v/>
      </c>
    </row>
    <row r="90">
      <c r="A90" t="inlineStr">
        <is>
          <t>8470002428423</t>
        </is>
      </c>
      <c r="B90" t="inlineStr">
        <is>
          <t>Beter Beter Coridon File Small 4u</t>
        </is>
      </c>
      <c r="C90" t="inlineStr">
        <is>
          <t>Nail Clippers &amp; Tools</t>
        </is>
      </c>
      <c r="D90" t="inlineStr">
        <is>
          <t>Beter</t>
        </is>
      </c>
      <c r="E90" t="n">
        <v>1.91</v>
      </c>
      <c r="F90" t="n">
        <v>1</v>
      </c>
      <c r="G90" t="n">
        <v>30</v>
      </c>
      <c r="H90" t="inlineStr">
        <is>
          <t>No</t>
        </is>
      </c>
      <c r="I90" t="inlineStr"/>
      <c r="J90" t="n">
        <v>1</v>
      </c>
      <c r="K90" t="n">
        <v>30</v>
      </c>
      <c r="L90" s="5">
        <f>HYPERLINK("https://api.qogita.com/variants/link/8470002428423/", "View Product")</f>
        <v/>
      </c>
    </row>
    <row r="91">
      <c r="A91" t="inlineStr">
        <is>
          <t>8470002428676</t>
        </is>
      </c>
      <c r="B91" t="inlineStr">
        <is>
          <t>Beter Cut Cuticles Stainless Steel Cuticle Scissors - Black</t>
        </is>
      </c>
      <c r="C91" t="inlineStr">
        <is>
          <t>Cuticle Removers</t>
        </is>
      </c>
      <c r="D91" t="inlineStr">
        <is>
          <t>Beter</t>
        </is>
      </c>
      <c r="E91" t="n">
        <v>5.59</v>
      </c>
      <c r="F91" t="n">
        <v>1</v>
      </c>
      <c r="G91" t="n">
        <v>10</v>
      </c>
      <c r="H91" t="inlineStr">
        <is>
          <t>No</t>
        </is>
      </c>
      <c r="I91" t="inlineStr"/>
      <c r="J91" t="n">
        <v>1</v>
      </c>
      <c r="K91" t="n">
        <v>10</v>
      </c>
      <c r="L91" s="5">
        <f>HYPERLINK("https://api.qogita.com/variants/link/8470002428676/", "View Product")</f>
        <v/>
      </c>
    </row>
    <row r="92">
      <c r="A92" t="inlineStr">
        <is>
          <t>8470002428751</t>
        </is>
      </c>
      <c r="B92" t="inlineStr">
        <is>
          <t>Beter Beter Professional Nail Pliers</t>
        </is>
      </c>
      <c r="C92" t="inlineStr">
        <is>
          <t>Nail Clippers &amp; Tools</t>
        </is>
      </c>
      <c r="D92" t="inlineStr">
        <is>
          <t>Beter</t>
        </is>
      </c>
      <c r="E92" t="n">
        <v>10.44</v>
      </c>
      <c r="F92" t="n">
        <v>1</v>
      </c>
      <c r="G92" t="n">
        <v>20</v>
      </c>
      <c r="H92" t="inlineStr">
        <is>
          <t>No</t>
        </is>
      </c>
      <c r="I92" t="inlineStr"/>
      <c r="J92" t="n">
        <v>1</v>
      </c>
      <c r="K92" t="n">
        <v>20</v>
      </c>
      <c r="L92" s="5">
        <f>HYPERLINK("https://api.qogita.com/variants/link/8470002428751/", "View Product")</f>
        <v/>
      </c>
    </row>
    <row r="93">
      <c r="A93" t="inlineStr">
        <is>
          <t>8470002428836</t>
        </is>
      </c>
      <c r="B93" t="inlineStr">
        <is>
          <t>Beter Chrome Skin Nippers 24010</t>
        </is>
      </c>
      <c r="C93" t="inlineStr">
        <is>
          <t>Nail Clippers &amp; Tools</t>
        </is>
      </c>
      <c r="D93" t="inlineStr">
        <is>
          <t>Beter</t>
        </is>
      </c>
      <c r="E93" t="n">
        <v>13.4</v>
      </c>
      <c r="F93" t="n">
        <v>1</v>
      </c>
      <c r="G93" t="n">
        <v>20</v>
      </c>
      <c r="H93" t="inlineStr">
        <is>
          <t>No</t>
        </is>
      </c>
      <c r="I93" t="inlineStr"/>
      <c r="J93" t="n">
        <v>1</v>
      </c>
      <c r="K93" t="n">
        <v>20</v>
      </c>
      <c r="L93" s="5">
        <f>HYPERLINK("https://api.qogita.com/variants/link/8470002428836/", "View Product")</f>
        <v/>
      </c>
    </row>
    <row r="94">
      <c r="A94" t="inlineStr">
        <is>
          <t>8470002428911</t>
        </is>
      </c>
      <c r="B94" t="inlineStr">
        <is>
          <t>Beter Professional Curved Chrome Manicure Scissors For Cuticle</t>
        </is>
      </c>
      <c r="C94" t="inlineStr">
        <is>
          <t>Nail Clippers &amp; Tools</t>
        </is>
      </c>
      <c r="D94" t="inlineStr">
        <is>
          <t>Beter</t>
        </is>
      </c>
      <c r="E94" t="n">
        <v>9.550000000000001</v>
      </c>
      <c r="F94" t="n">
        <v>1</v>
      </c>
      <c r="G94" t="n">
        <v>20</v>
      </c>
      <c r="H94" t="inlineStr">
        <is>
          <t>No</t>
        </is>
      </c>
      <c r="I94" t="inlineStr"/>
      <c r="J94" t="n">
        <v>1</v>
      </c>
      <c r="K94" t="n">
        <v>20</v>
      </c>
      <c r="L94" s="5">
        <f>HYPERLINK("https://api.qogita.com/variants/link/8470002428911/", "View Product")</f>
        <v/>
      </c>
    </row>
    <row r="95">
      <c r="A95" t="inlineStr">
        <is>
          <t>8470002429093</t>
        </is>
      </c>
      <c r="B95" t="inlineStr">
        <is>
          <t>Beter Beter Professional Manicure Scissors</t>
        </is>
      </c>
      <c r="C95" t="inlineStr">
        <is>
          <t>Nail Clippers &amp; Tools</t>
        </is>
      </c>
      <c r="D95" t="inlineStr">
        <is>
          <t>Beter</t>
        </is>
      </c>
      <c r="E95" t="n">
        <v>9.06</v>
      </c>
      <c r="F95" t="n">
        <v>1</v>
      </c>
      <c r="G95" t="n">
        <v>20</v>
      </c>
      <c r="H95" t="inlineStr">
        <is>
          <t>No</t>
        </is>
      </c>
      <c r="I95" t="inlineStr"/>
      <c r="J95" t="n">
        <v>1</v>
      </c>
      <c r="K95" t="n">
        <v>20</v>
      </c>
      <c r="L95" s="5">
        <f>HYPERLINK("https://api.qogita.com/variants/link/8470002429093/", "View Product")</f>
        <v/>
      </c>
    </row>
    <row r="96">
      <c r="A96" t="inlineStr">
        <is>
          <t>8470002429253</t>
        </is>
      </c>
      <c r="B96" t="inlineStr">
        <is>
          <t>Beter Corundum Nail File Manicure 16cm X 4 Units</t>
        </is>
      </c>
      <c r="C96" t="inlineStr">
        <is>
          <t>Nail Clippers &amp; Tools</t>
        </is>
      </c>
      <c r="D96" t="inlineStr">
        <is>
          <t>Beter</t>
        </is>
      </c>
      <c r="E96" t="n">
        <v>2.1</v>
      </c>
      <c r="F96" t="n">
        <v>1</v>
      </c>
      <c r="G96" t="n">
        <v>20</v>
      </c>
      <c r="H96" t="inlineStr">
        <is>
          <t>No</t>
        </is>
      </c>
      <c r="I96" t="inlineStr"/>
      <c r="J96" t="n">
        <v>1</v>
      </c>
      <c r="K96" t="n">
        <v>20</v>
      </c>
      <c r="L96" s="5">
        <f>HYPERLINK("https://api.qogita.com/variants/link/8470002429253/", "View Product")</f>
        <v/>
      </c>
    </row>
    <row r="97">
      <c r="A97" t="inlineStr">
        <is>
          <t>8470002429666</t>
        </is>
      </c>
      <c r="B97" t="inlineStr">
        <is>
          <t>Beter Beter Lime Nail Sapphire Acute Tip 157cm</t>
        </is>
      </c>
      <c r="C97" t="inlineStr">
        <is>
          <t>Nail Clippers &amp; Tools</t>
        </is>
      </c>
      <c r="D97" t="inlineStr">
        <is>
          <t>Beter</t>
        </is>
      </c>
      <c r="E97" t="n">
        <v>3.2</v>
      </c>
      <c r="F97" t="n">
        <v>1</v>
      </c>
      <c r="G97" t="n">
        <v>30</v>
      </c>
      <c r="H97" t="inlineStr">
        <is>
          <t>No</t>
        </is>
      </c>
      <c r="I97" t="inlineStr"/>
      <c r="J97" t="n">
        <v>1</v>
      </c>
      <c r="K97" t="n">
        <v>30</v>
      </c>
      <c r="L97" s="5">
        <f>HYPERLINK("https://api.qogita.com/variants/link/8470002429666/", "View Product")</f>
        <v/>
      </c>
    </row>
    <row r="98">
      <c r="A98" t="inlineStr">
        <is>
          <t>8470002429741</t>
        </is>
      </c>
      <c r="B98" t="inlineStr">
        <is>
          <t>Beter Pedicure Nippers 15cm R24023</t>
        </is>
      </c>
      <c r="C98" t="inlineStr">
        <is>
          <t>Nail Clippers &amp; Tools</t>
        </is>
      </c>
      <c r="D98" t="inlineStr">
        <is>
          <t>Beter</t>
        </is>
      </c>
      <c r="E98" t="n">
        <v>14.21</v>
      </c>
      <c r="F98" t="n">
        <v>1</v>
      </c>
      <c r="G98" t="n">
        <v>20</v>
      </c>
      <c r="H98" t="inlineStr">
        <is>
          <t>No</t>
        </is>
      </c>
      <c r="I98" t="inlineStr"/>
      <c r="J98" t="n">
        <v>1</v>
      </c>
      <c r="K98" t="n">
        <v>20</v>
      </c>
      <c r="L98" s="5">
        <f>HYPERLINK("https://api.qogita.com/variants/link/8470002429741/", "View Product")</f>
        <v/>
      </c>
    </row>
    <row r="99">
      <c r="A99" t="inlineStr">
        <is>
          <t>8470002430068</t>
        </is>
      </c>
      <c r="B99" t="inlineStr">
        <is>
          <t>Beter Beter Curved Pedicure Nail Scissors</t>
        </is>
      </c>
      <c r="C99" t="inlineStr">
        <is>
          <t>Nail Clippers &amp; Tools</t>
        </is>
      </c>
      <c r="D99" t="inlineStr">
        <is>
          <t>Beter</t>
        </is>
      </c>
      <c r="E99" t="n">
        <v>12.24</v>
      </c>
      <c r="F99" t="n">
        <v>1</v>
      </c>
      <c r="G99" t="n">
        <v>20</v>
      </c>
      <c r="H99" t="inlineStr">
        <is>
          <t>No</t>
        </is>
      </c>
      <c r="I99" t="inlineStr"/>
      <c r="J99" t="n">
        <v>1</v>
      </c>
      <c r="K99" t="n">
        <v>20</v>
      </c>
      <c r="L99" s="5">
        <f>HYPERLINK("https://api.qogita.com/variants/link/8470002430068/", "View Product")</f>
        <v/>
      </c>
    </row>
    <row r="100">
      <c r="A100" t="inlineStr">
        <is>
          <t>8470002430228</t>
        </is>
      </c>
      <c r="B100" t="inlineStr">
        <is>
          <t>Beter Beter Professional Chromed Pedicure Nippers 12cm</t>
        </is>
      </c>
      <c r="C100" t="inlineStr">
        <is>
          <t>Nail Clippers &amp; Tools</t>
        </is>
      </c>
      <c r="D100" t="inlineStr">
        <is>
          <t>Beter</t>
        </is>
      </c>
      <c r="E100" t="n">
        <v>15.99</v>
      </c>
      <c r="F100" t="n">
        <v>1</v>
      </c>
      <c r="G100" t="n">
        <v>10</v>
      </c>
      <c r="H100" t="inlineStr">
        <is>
          <t>No</t>
        </is>
      </c>
      <c r="I100" t="inlineStr"/>
      <c r="J100" t="n">
        <v>1</v>
      </c>
      <c r="K100" t="n">
        <v>10</v>
      </c>
      <c r="L100" s="5">
        <f>HYPERLINK("https://api.qogita.com/variants/link/8470002430228/", "View Product")</f>
        <v/>
      </c>
    </row>
    <row r="101">
      <c r="A101" t="inlineStr">
        <is>
          <t>8470002430556</t>
        </is>
      </c>
      <c r="B101" t="inlineStr">
        <is>
          <t>Beter Beter Brush Nails Double Spiked Nylon</t>
        </is>
      </c>
      <c r="C101" t="inlineStr">
        <is>
          <t>Nail Clippers &amp; Tools</t>
        </is>
      </c>
      <c r="D101" t="inlineStr">
        <is>
          <t>Beter</t>
        </is>
      </c>
      <c r="E101" t="n">
        <v>3.12</v>
      </c>
      <c r="F101" t="n">
        <v>1</v>
      </c>
      <c r="G101" t="n">
        <v>20</v>
      </c>
      <c r="H101" t="inlineStr">
        <is>
          <t>No</t>
        </is>
      </c>
      <c r="I101" t="inlineStr"/>
      <c r="J101" t="n">
        <v>1</v>
      </c>
      <c r="K101" t="n">
        <v>20</v>
      </c>
      <c r="L101" s="5">
        <f>HYPERLINK("https://api.qogita.com/variants/link/8470002430556/", "View Product")</f>
        <v/>
      </c>
    </row>
    <row r="102">
      <c r="A102" t="inlineStr">
        <is>
          <t>8470002439801</t>
        </is>
      </c>
      <c r="B102" t="inlineStr">
        <is>
          <t>Beter Beter Lima Nails Pedicure Corundum 8cm 4 Units</t>
        </is>
      </c>
      <c r="C102" t="inlineStr">
        <is>
          <t>Nail Clippers &amp; Tools</t>
        </is>
      </c>
      <c r="D102" t="inlineStr">
        <is>
          <t>Beter</t>
        </is>
      </c>
      <c r="E102" t="n">
        <v>1.89</v>
      </c>
      <c r="F102" t="n">
        <v>1</v>
      </c>
      <c r="G102" t="n">
        <v>20</v>
      </c>
      <c r="H102" t="inlineStr">
        <is>
          <t>No</t>
        </is>
      </c>
      <c r="I102" t="inlineStr"/>
      <c r="J102" t="n">
        <v>1</v>
      </c>
      <c r="K102" t="n">
        <v>20</v>
      </c>
      <c r="L102" s="5">
        <f>HYPERLINK("https://api.qogita.com/variants/link/8470002439801/", "View Product")</f>
        <v/>
      </c>
    </row>
    <row r="103">
      <c r="A103" t="inlineStr">
        <is>
          <t>8470002469341</t>
        </is>
      </c>
      <c r="B103" t="inlineStr">
        <is>
          <t>Beter Beter Chrome Plated Crab Tip Tweezers</t>
        </is>
      </c>
      <c r="C103" t="inlineStr">
        <is>
          <t>Nail Clippers &amp; Tools</t>
        </is>
      </c>
      <c r="D103" t="inlineStr">
        <is>
          <t>Beter</t>
        </is>
      </c>
      <c r="E103" t="n">
        <v>6.38</v>
      </c>
      <c r="F103" t="n">
        <v>1</v>
      </c>
      <c r="G103" t="n">
        <v>20</v>
      </c>
      <c r="H103" t="inlineStr">
        <is>
          <t>No</t>
        </is>
      </c>
      <c r="I103" t="inlineStr"/>
      <c r="J103" t="n">
        <v>1</v>
      </c>
      <c r="K103" t="n">
        <v>20</v>
      </c>
      <c r="L103" s="5">
        <f>HYPERLINK("https://api.qogita.com/variants/link/8470002469341/", "View Product")</f>
        <v/>
      </c>
    </row>
    <row r="104">
      <c r="A104" t="inlineStr">
        <is>
          <t>8470002472471</t>
        </is>
      </c>
      <c r="B104" t="inlineStr">
        <is>
          <t>Beter Lima Nails Tempered Glass 138cm</t>
        </is>
      </c>
      <c r="C104" t="inlineStr">
        <is>
          <t>Nail Clippers &amp; Tools</t>
        </is>
      </c>
      <c r="D104" t="inlineStr">
        <is>
          <t>Beter</t>
        </is>
      </c>
      <c r="E104" t="n">
        <v>7.51</v>
      </c>
      <c r="F104" t="n">
        <v>1</v>
      </c>
      <c r="G104" t="n">
        <v>10</v>
      </c>
      <c r="H104" t="inlineStr">
        <is>
          <t>No</t>
        </is>
      </c>
      <c r="I104" t="inlineStr"/>
      <c r="J104" t="n">
        <v>1</v>
      </c>
      <c r="K104" t="n">
        <v>10</v>
      </c>
      <c r="L104" s="5">
        <f>HYPERLINK("https://api.qogita.com/variants/link/8470002472471/", "View Product")</f>
        <v/>
      </c>
    </row>
    <row r="105">
      <c r="A105" t="inlineStr">
        <is>
          <t>8470002567351</t>
        </is>
      </c>
      <c r="B105" t="inlineStr">
        <is>
          <t>Pedicure Nail Clipper Maf Para2</t>
        </is>
      </c>
      <c r="C105" t="inlineStr">
        <is>
          <t>Nail Clippers &amp; Tools</t>
        </is>
      </c>
      <c r="D105" t="inlineStr">
        <is>
          <t>Pampers</t>
        </is>
      </c>
      <c r="E105" t="n">
        <v>3.87</v>
      </c>
      <c r="F105" t="n">
        <v>1</v>
      </c>
      <c r="G105" t="n">
        <v>10</v>
      </c>
      <c r="H105" t="inlineStr">
        <is>
          <t>No</t>
        </is>
      </c>
      <c r="I105" t="inlineStr"/>
      <c r="J105" t="n">
        <v>1</v>
      </c>
      <c r="K105" t="n">
        <v>10</v>
      </c>
      <c r="L105" s="5">
        <f>HYPERLINK("https://api.qogita.com/variants/link/8470002567351/", "View Product")</f>
        <v/>
      </c>
    </row>
    <row r="106">
      <c r="A106" t="inlineStr">
        <is>
          <t>8470003215701</t>
        </is>
      </c>
      <c r="B106" t="inlineStr">
        <is>
          <t>Laboratorios Vias Unglax Nail Polish Remover</t>
        </is>
      </c>
      <c r="C106" t="inlineStr">
        <is>
          <t>Nail Oil</t>
        </is>
      </c>
      <c r="D106" t="inlineStr">
        <is>
          <t>Laboratorios Vía</t>
        </is>
      </c>
      <c r="E106" t="n">
        <v>6.68</v>
      </c>
      <c r="F106" t="n">
        <v>1</v>
      </c>
      <c r="G106" t="n">
        <v>10</v>
      </c>
      <c r="H106" t="inlineStr">
        <is>
          <t>No</t>
        </is>
      </c>
      <c r="I106" t="inlineStr"/>
      <c r="J106" t="n">
        <v>1</v>
      </c>
      <c r="K106" t="n">
        <v>10</v>
      </c>
      <c r="L106" s="5">
        <f>HYPERLINK("https://api.qogita.com/variants/link/8470003215701/", "View Product")</f>
        <v/>
      </c>
    </row>
    <row r="107">
      <c r="A107" t="inlineStr">
        <is>
          <t>8470003244183</t>
        </is>
      </c>
      <c r="B107" t="inlineStr">
        <is>
          <t>Beter Beter Professional Chromed Pedicure Nippers 135cm</t>
        </is>
      </c>
      <c r="C107" t="inlineStr">
        <is>
          <t>Nail Clippers &amp; Tools</t>
        </is>
      </c>
      <c r="D107" t="inlineStr">
        <is>
          <t>Beter</t>
        </is>
      </c>
      <c r="E107" t="n">
        <v>17.7</v>
      </c>
      <c r="F107" t="n">
        <v>1</v>
      </c>
      <c r="G107" t="n">
        <v>20</v>
      </c>
      <c r="H107" t="inlineStr">
        <is>
          <t>No</t>
        </is>
      </c>
      <c r="I107" t="inlineStr"/>
      <c r="J107" t="n">
        <v>1</v>
      </c>
      <c r="K107" t="n">
        <v>20</v>
      </c>
      <c r="L107" s="5">
        <f>HYPERLINK("https://api.qogita.com/variants/link/8470003244183/", "View Product")</f>
        <v/>
      </c>
    </row>
    <row r="108">
      <c r="A108" t="inlineStr">
        <is>
          <t>8470003311328</t>
        </is>
      </c>
      <c r="B108" t="inlineStr">
        <is>
          <t>Laboratorios Vias Unglax 2 Nail Hardener</t>
        </is>
      </c>
      <c r="C108" t="inlineStr">
        <is>
          <t>Nail Care Sets</t>
        </is>
      </c>
      <c r="D108" t="inlineStr">
        <is>
          <t>Laboratorios Vía</t>
        </is>
      </c>
      <c r="E108" t="n">
        <v>7.28</v>
      </c>
      <c r="F108" t="n">
        <v>1</v>
      </c>
      <c r="G108" t="n">
        <v>10</v>
      </c>
      <c r="H108" t="inlineStr">
        <is>
          <t>No</t>
        </is>
      </c>
      <c r="I108" t="inlineStr"/>
      <c r="J108" t="n">
        <v>1</v>
      </c>
      <c r="K108" t="n">
        <v>10</v>
      </c>
      <c r="L108" s="5">
        <f>HYPERLINK("https://api.qogita.com/variants/link/8470003311328/", "View Product")</f>
        <v/>
      </c>
    </row>
    <row r="109">
      <c r="A109" t="inlineStr">
        <is>
          <t>8470003723268</t>
        </is>
      </c>
      <c r="B109" t="inlineStr">
        <is>
          <t>Beter Beter Cuticle Cutter Lima &amp; Bajapieles</t>
        </is>
      </c>
      <c r="C109" t="inlineStr">
        <is>
          <t>Nail Clippers &amp; Tools</t>
        </is>
      </c>
      <c r="D109" t="inlineStr">
        <is>
          <t>Beter</t>
        </is>
      </c>
      <c r="E109" t="n">
        <v>5.18</v>
      </c>
      <c r="F109" t="n">
        <v>1</v>
      </c>
      <c r="G109" t="n">
        <v>20</v>
      </c>
      <c r="H109" t="inlineStr">
        <is>
          <t>No</t>
        </is>
      </c>
      <c r="I109" t="inlineStr"/>
      <c r="J109" t="n">
        <v>1</v>
      </c>
      <c r="K109" t="n">
        <v>20</v>
      </c>
      <c r="L109" s="5">
        <f>HYPERLINK("https://api.qogita.com/variants/link/8470003723268/", "View Product")</f>
        <v/>
      </c>
    </row>
    <row r="110">
      <c r="A110" t="inlineStr">
        <is>
          <t>8470003731188</t>
        </is>
      </c>
      <c r="B110" t="inlineStr">
        <is>
          <t>Beter Beter Chrome Cutter With Deposit R</t>
        </is>
      </c>
      <c r="C110" t="inlineStr">
        <is>
          <t>Nail Clippers &amp; Tools</t>
        </is>
      </c>
      <c r="D110" t="inlineStr">
        <is>
          <t>Beter</t>
        </is>
      </c>
      <c r="E110" t="n">
        <v>2.66</v>
      </c>
      <c r="F110" t="n">
        <v>1</v>
      </c>
      <c r="G110" t="n">
        <v>30</v>
      </c>
      <c r="H110" t="inlineStr">
        <is>
          <t>No</t>
        </is>
      </c>
      <c r="I110" t="inlineStr"/>
      <c r="J110" t="n">
        <v>1</v>
      </c>
      <c r="K110" t="n">
        <v>30</v>
      </c>
      <c r="L110" s="5">
        <f>HYPERLINK("https://api.qogita.com/variants/link/8470003731188/", "View Product")</f>
        <v/>
      </c>
    </row>
    <row r="111">
      <c r="A111" t="inlineStr">
        <is>
          <t>8470003781176</t>
        </is>
      </c>
      <c r="B111" t="inlineStr">
        <is>
          <t>Beter Cheap Bee Cutter 1 Sheet 145cm</t>
        </is>
      </c>
      <c r="C111" t="inlineStr">
        <is>
          <t>Nail Clippers &amp; Tools</t>
        </is>
      </c>
      <c r="D111" t="inlineStr">
        <is>
          <t>Beter</t>
        </is>
      </c>
      <c r="E111" t="n">
        <v>6.67</v>
      </c>
      <c r="F111" t="n">
        <v>1</v>
      </c>
      <c r="G111" t="n">
        <v>20</v>
      </c>
      <c r="H111" t="inlineStr">
        <is>
          <t>No</t>
        </is>
      </c>
      <c r="I111" t="inlineStr"/>
      <c r="J111" t="n">
        <v>1</v>
      </c>
      <c r="K111" t="n">
        <v>20</v>
      </c>
      <c r="L111" s="5">
        <f>HYPERLINK("https://api.qogita.com/variants/link/8470003781176/", "View Product")</f>
        <v/>
      </c>
    </row>
    <row r="112">
      <c r="A112" t="inlineStr">
        <is>
          <t>8470003781251</t>
        </is>
      </c>
      <c r="B112" t="inlineStr">
        <is>
          <t>Beter Beter Nail Clippers With Chrome Plated File</t>
        </is>
      </c>
      <c r="C112" t="inlineStr">
        <is>
          <t>Nail Clippers &amp; Tools</t>
        </is>
      </c>
      <c r="D112" t="inlineStr">
        <is>
          <t>Beter</t>
        </is>
      </c>
      <c r="E112" t="n">
        <v>2.17</v>
      </c>
      <c r="F112" t="n">
        <v>1</v>
      </c>
      <c r="G112" t="n">
        <v>20</v>
      </c>
      <c r="H112" t="inlineStr">
        <is>
          <t>No</t>
        </is>
      </c>
      <c r="I112" t="inlineStr"/>
      <c r="J112" t="n">
        <v>1</v>
      </c>
      <c r="K112" t="n">
        <v>20</v>
      </c>
      <c r="L112" s="5">
        <f>HYPERLINK("https://api.qogita.com/variants/link/8470003781251/", "View Product")</f>
        <v/>
      </c>
    </row>
    <row r="113">
      <c r="A113" t="inlineStr">
        <is>
          <t>3600530687398</t>
        </is>
      </c>
      <c r="B113" t="inlineStr">
        <is>
          <t>Essie Nail Polish Remover Good As Gone 125 Ml</t>
        </is>
      </c>
      <c r="C113" t="inlineStr">
        <is>
          <t>Nail Care Sets</t>
        </is>
      </c>
      <c r="D113" t="inlineStr">
        <is>
          <t>Essie</t>
        </is>
      </c>
      <c r="E113" t="n">
        <v>4.19</v>
      </c>
      <c r="F113" t="n">
        <v>1</v>
      </c>
      <c r="G113" t="n">
        <v>11</v>
      </c>
      <c r="H113" t="inlineStr">
        <is>
          <t>No</t>
        </is>
      </c>
      <c r="I113" t="inlineStr"/>
      <c r="J113" t="n">
        <v>2</v>
      </c>
      <c r="K113" t="n">
        <v>15</v>
      </c>
      <c r="L113" s="5">
        <f>HYPERLINK("https://api.qogita.com/variants/link/3600530687398/", "View Product")</f>
        <v/>
      </c>
    </row>
    <row r="114">
      <c r="A114" t="inlineStr">
        <is>
          <t>3600531511630</t>
        </is>
      </c>
      <c r="B114" t="inlineStr">
        <is>
          <t>Essie Treat Apricot Cuticle Oil Nourishing Nail Oil 135ml</t>
        </is>
      </c>
      <c r="C114" t="inlineStr">
        <is>
          <t>Nail Oil</t>
        </is>
      </c>
      <c r="D114" t="inlineStr">
        <is>
          <t>Essie</t>
        </is>
      </c>
      <c r="E114" t="n">
        <v>3.1</v>
      </c>
      <c r="F114" t="n">
        <v>1</v>
      </c>
      <c r="G114" t="n">
        <v>28</v>
      </c>
      <c r="H114" t="inlineStr">
        <is>
          <t>No</t>
        </is>
      </c>
      <c r="I114" t="inlineStr"/>
      <c r="J114" t="n">
        <v>4</v>
      </c>
      <c r="K114" t="n">
        <v>139</v>
      </c>
      <c r="L114" s="5">
        <f>HYPERLINK("https://api.qogita.com/variants/link/3600531511630/", "View Product")</f>
        <v/>
      </c>
    </row>
    <row r="115">
      <c r="A115" t="inlineStr">
        <is>
          <t>3600531511647</t>
        </is>
      </c>
      <c r="B115" t="inlineStr">
        <is>
          <t>Essie No Chips Ahead Top Coat</t>
        </is>
      </c>
      <c r="C115" t="inlineStr">
        <is>
          <t>Nail Care Sets</t>
        </is>
      </c>
      <c r="D115" t="inlineStr">
        <is>
          <t>Essie</t>
        </is>
      </c>
      <c r="E115" t="n">
        <v>6.1</v>
      </c>
      <c r="F115" t="n">
        <v>1</v>
      </c>
      <c r="G115" t="n">
        <v>1</v>
      </c>
      <c r="H115" t="inlineStr">
        <is>
          <t>No</t>
        </is>
      </c>
      <c r="I115" t="inlineStr"/>
      <c r="J115" t="n">
        <v>1</v>
      </c>
      <c r="K115" t="n">
        <v>1</v>
      </c>
      <c r="L115" s="5">
        <f>HYPERLINK("https://api.qogita.com/variants/link/3600531511647/", "View Product")</f>
        <v/>
      </c>
    </row>
    <row r="116">
      <c r="A116" t="inlineStr">
        <is>
          <t>3600531511685</t>
        </is>
      </c>
      <c r="B116" t="inlineStr">
        <is>
          <t>Essie Gel Setter Top Coat Gel Like Color &amp; Shine 135ml</t>
        </is>
      </c>
      <c r="C116" t="inlineStr">
        <is>
          <t>Nail Care Sets</t>
        </is>
      </c>
      <c r="D116" t="inlineStr">
        <is>
          <t>Essie</t>
        </is>
      </c>
      <c r="E116" t="n">
        <v>5.77</v>
      </c>
      <c r="F116" t="n">
        <v>3</v>
      </c>
      <c r="G116" t="n">
        <v>3</v>
      </c>
      <c r="H116" t="inlineStr">
        <is>
          <t>No</t>
        </is>
      </c>
      <c r="I116" t="inlineStr"/>
      <c r="J116" t="n">
        <v>2</v>
      </c>
      <c r="K116" t="n">
        <v>67</v>
      </c>
      <c r="L116" s="5">
        <f>HYPERLINK("https://api.qogita.com/variants/link/3600531511685/", "View Product")</f>
        <v/>
      </c>
    </row>
    <row r="117">
      <c r="A117" t="inlineStr">
        <is>
          <t>3600531652425</t>
        </is>
      </c>
      <c r="B117" t="inlineStr">
        <is>
          <t>Essie Hard To Resist Pink Nail Hardener</t>
        </is>
      </c>
      <c r="C117" t="inlineStr">
        <is>
          <t>Nail Care Sets</t>
        </is>
      </c>
      <c r="D117" t="inlineStr">
        <is>
          <t>Essie</t>
        </is>
      </c>
      <c r="E117" t="n">
        <v>5.28</v>
      </c>
      <c r="F117" t="n">
        <v>1</v>
      </c>
      <c r="G117" t="n">
        <v>4</v>
      </c>
      <c r="H117" t="inlineStr">
        <is>
          <t>No</t>
        </is>
      </c>
      <c r="I117" t="inlineStr"/>
      <c r="J117" t="n">
        <v>3</v>
      </c>
      <c r="K117" t="n">
        <v>47</v>
      </c>
      <c r="L117" s="5">
        <f>HYPERLINK("https://api.qogita.com/variants/link/3600531652425/", "View Product")</f>
        <v/>
      </c>
    </row>
    <row r="118">
      <c r="A118" t="inlineStr">
        <is>
          <t>3600531652432</t>
        </is>
      </c>
      <c r="B118" t="inlineStr">
        <is>
          <t>Essie Hard To Resist Nail Hardener 135ml Purple</t>
        </is>
      </c>
      <c r="C118" t="inlineStr">
        <is>
          <t>Nail Care Sets</t>
        </is>
      </c>
      <c r="D118" t="inlineStr">
        <is>
          <t>Essie</t>
        </is>
      </c>
      <c r="E118" t="n">
        <v>6.09</v>
      </c>
      <c r="F118" t="n">
        <v>1</v>
      </c>
      <c r="G118" t="n">
        <v>1</v>
      </c>
      <c r="H118" t="inlineStr">
        <is>
          <t>No</t>
        </is>
      </c>
      <c r="I118" t="inlineStr"/>
      <c r="J118" t="n">
        <v>3</v>
      </c>
      <c r="K118" t="n">
        <v>41</v>
      </c>
      <c r="L118" s="5">
        <f>HYPERLINK("https://api.qogita.com/variants/link/3600531652432/", "View Product")</f>
        <v/>
      </c>
    </row>
    <row r="119">
      <c r="A119" t="inlineStr">
        <is>
          <t>3600531663384</t>
        </is>
      </c>
      <c r="B119" t="inlineStr">
        <is>
          <t>Essie On A Roll Apricot Nail And Cuticle Oil 5ml</t>
        </is>
      </c>
      <c r="C119" t="inlineStr">
        <is>
          <t>Nail Oil</t>
        </is>
      </c>
      <c r="D119" t="inlineStr">
        <is>
          <t>Essie</t>
        </is>
      </c>
      <c r="E119" t="n">
        <v>4.95</v>
      </c>
      <c r="F119" t="n">
        <v>1</v>
      </c>
      <c r="G119" t="n">
        <v>1</v>
      </c>
      <c r="H119" t="inlineStr">
        <is>
          <t>No</t>
        </is>
      </c>
      <c r="I119" t="inlineStr"/>
      <c r="J119" t="n">
        <v>4</v>
      </c>
      <c r="K119" t="n">
        <v>570</v>
      </c>
      <c r="L119" s="5">
        <f>HYPERLINK("https://api.qogita.com/variants/link/3600531663384/", "View Product")</f>
        <v/>
      </c>
    </row>
    <row r="120">
      <c r="A120" t="inlineStr">
        <is>
          <t>3600531663414</t>
        </is>
      </c>
      <c r="B120" t="inlineStr">
        <is>
          <t>Essie Stay Longer Longwear Top Coat 135ml</t>
        </is>
      </c>
      <c r="C120" t="inlineStr">
        <is>
          <t>Nail Care Sets</t>
        </is>
      </c>
      <c r="D120" t="inlineStr">
        <is>
          <t>Essie</t>
        </is>
      </c>
      <c r="E120" t="n">
        <v>5.7</v>
      </c>
      <c r="F120" t="n">
        <v>1</v>
      </c>
      <c r="G120" t="n">
        <v>14</v>
      </c>
      <c r="H120" t="inlineStr">
        <is>
          <t>No</t>
        </is>
      </c>
      <c r="I120" t="inlineStr"/>
      <c r="J120" t="n">
        <v>4</v>
      </c>
      <c r="K120" t="n">
        <v>39</v>
      </c>
      <c r="L120" s="5">
        <f>HYPERLINK("https://api.qogita.com/variants/link/3600531663414/", "View Product")</f>
        <v/>
      </c>
    </row>
    <row r="121">
      <c r="A121" t="inlineStr">
        <is>
          <t>3600531684518</t>
        </is>
      </c>
      <c r="B121" t="inlineStr">
        <is>
          <t>Essie Good As New Nail Perfector 13 Ml</t>
        </is>
      </c>
      <c r="C121" t="inlineStr">
        <is>
          <t>Nail Care Sets</t>
        </is>
      </c>
      <c r="D121" t="inlineStr">
        <is>
          <t>Essie</t>
        </is>
      </c>
      <c r="E121" t="n">
        <v>4.48</v>
      </c>
      <c r="F121" t="n">
        <v>1</v>
      </c>
      <c r="G121" t="n">
        <v>16</v>
      </c>
      <c r="H121" t="inlineStr">
        <is>
          <t>No</t>
        </is>
      </c>
      <c r="I121" t="inlineStr"/>
      <c r="J121" t="n">
        <v>4</v>
      </c>
      <c r="K121" t="n">
        <v>24</v>
      </c>
      <c r="L121" s="5">
        <f>HYPERLINK("https://api.qogita.com/variants/link/3600531684518/", "View Product")</f>
        <v/>
      </c>
    </row>
    <row r="122">
      <c r="A122" t="inlineStr">
        <is>
          <t>4008576010481</t>
        </is>
      </c>
      <c r="B122" t="inlineStr">
        <is>
          <t>BIFULL Sapphire Nail File REF01048</t>
        </is>
      </c>
      <c r="C122" t="inlineStr">
        <is>
          <t>Nail Care</t>
        </is>
      </c>
      <c r="D122" t="inlineStr">
        <is>
          <t>Bifull</t>
        </is>
      </c>
      <c r="E122" t="n">
        <v>1.16</v>
      </c>
      <c r="F122" t="n">
        <v>1</v>
      </c>
      <c r="G122" t="n">
        <v>9</v>
      </c>
      <c r="H122" t="inlineStr">
        <is>
          <t>No</t>
        </is>
      </c>
      <c r="I122" t="inlineStr"/>
      <c r="J122" t="n">
        <v>1</v>
      </c>
      <c r="K122" t="n">
        <v>9</v>
      </c>
      <c r="L122" s="5">
        <f>HYPERLINK("https://api.qogita.com/variants/link/4008576010481/", "View Product")</f>
        <v/>
      </c>
    </row>
    <row r="123">
      <c r="A123" t="inlineStr">
        <is>
          <t>4008576314411</t>
        </is>
      </c>
      <c r="B123" t="inlineStr">
        <is>
          <t>Titania Solingen Nail Clipper</t>
        </is>
      </c>
      <c r="C123" t="inlineStr">
        <is>
          <t>Nail Clippers &amp; Tools</t>
        </is>
      </c>
      <c r="D123" t="inlineStr">
        <is>
          <t>Titania</t>
        </is>
      </c>
      <c r="E123" t="n">
        <v>6.07</v>
      </c>
      <c r="F123" t="n">
        <v>1</v>
      </c>
      <c r="G123" t="n">
        <v>7</v>
      </c>
      <c r="H123" t="inlineStr">
        <is>
          <t>No</t>
        </is>
      </c>
      <c r="I123" t="inlineStr"/>
      <c r="J123" t="n">
        <v>1</v>
      </c>
      <c r="K123" t="n">
        <v>7</v>
      </c>
      <c r="L123" s="5">
        <f>HYPERLINK("https://api.qogita.com/variants/link/4008576314411/", "View Product")</f>
        <v/>
      </c>
    </row>
    <row r="124">
      <c r="A124" t="inlineStr">
        <is>
          <t>5902533301577</t>
        </is>
      </c>
      <c r="B124" t="inlineStr">
        <is>
          <t>Victoria Vynn Cuticle Nail Oil Salon 5 Oils Complex 30ml</t>
        </is>
      </c>
      <c r="C124" t="inlineStr">
        <is>
          <t>Nail Oil</t>
        </is>
      </c>
      <c r="D124" t="inlineStr">
        <is>
          <t>Victoria Vynn</t>
        </is>
      </c>
      <c r="E124" t="n">
        <v>7.44</v>
      </c>
      <c r="F124" t="n">
        <v>1</v>
      </c>
      <c r="G124" t="n">
        <v>2</v>
      </c>
      <c r="H124" t="inlineStr">
        <is>
          <t>No</t>
        </is>
      </c>
      <c r="I124" t="inlineStr"/>
      <c r="J124" t="n">
        <v>1</v>
      </c>
      <c r="K124" t="n">
        <v>2</v>
      </c>
      <c r="L124" s="5">
        <f>HYPERLINK("https://api.qogita.com/variants/link/5902533301577/", "View Product")</f>
        <v/>
      </c>
    </row>
    <row r="125">
      <c r="A125" t="inlineStr">
        <is>
          <t>5902533301584</t>
        </is>
      </c>
      <c r="B125" t="inlineStr">
        <is>
          <t>VICTORIA VYNN Salon Cuticle Away 10ml</t>
        </is>
      </c>
      <c r="C125" t="inlineStr">
        <is>
          <t>Cuticle Removers</t>
        </is>
      </c>
      <c r="D125" t="inlineStr">
        <is>
          <t>Victoria Vynn</t>
        </is>
      </c>
      <c r="E125" t="n">
        <v>2.15</v>
      </c>
      <c r="F125" t="n">
        <v>1</v>
      </c>
      <c r="G125" t="n">
        <v>9</v>
      </c>
      <c r="H125" t="inlineStr">
        <is>
          <t>No</t>
        </is>
      </c>
      <c r="I125" t="inlineStr"/>
      <c r="J125" t="n">
        <v>1</v>
      </c>
      <c r="K125" t="n">
        <v>9</v>
      </c>
      <c r="L125" s="5">
        <f>HYPERLINK("https://api.qogita.com/variants/link/5902533301584/", "View Product")</f>
        <v/>
      </c>
    </row>
    <row r="126">
      <c r="A126" t="inlineStr">
        <is>
          <t>5902533301591</t>
        </is>
      </c>
      <c r="B126" t="inlineStr">
        <is>
          <t>Victoria Vynn Media Luna White Nail File 100/180 Grit</t>
        </is>
      </c>
      <c r="C126" t="inlineStr">
        <is>
          <t>Nail Care</t>
        </is>
      </c>
      <c r="D126" t="inlineStr">
        <is>
          <t>Victoria Vynn</t>
        </is>
      </c>
      <c r="E126" t="n">
        <v>1.31</v>
      </c>
      <c r="F126" t="n">
        <v>1</v>
      </c>
      <c r="G126" t="n">
        <v>18</v>
      </c>
      <c r="H126" t="inlineStr">
        <is>
          <t>No</t>
        </is>
      </c>
      <c r="I126" t="inlineStr"/>
      <c r="J126" t="n">
        <v>1</v>
      </c>
      <c r="K126" t="n">
        <v>18</v>
      </c>
      <c r="L126" s="5">
        <f>HYPERLINK("https://api.qogita.com/variants/link/5902533301591/", "View Product")</f>
        <v/>
      </c>
    </row>
    <row r="127">
      <c r="A127" t="inlineStr">
        <is>
          <t>5902533301614</t>
        </is>
      </c>
      <c r="B127" t="inlineStr">
        <is>
          <t>Victoria Vynn Banana Shaped Nail File 320/600</t>
        </is>
      </c>
      <c r="C127" t="inlineStr">
        <is>
          <t>Nail Care</t>
        </is>
      </c>
      <c r="D127" t="inlineStr">
        <is>
          <t>Victoria Vynn</t>
        </is>
      </c>
      <c r="E127" t="n">
        <v>1.31</v>
      </c>
      <c r="F127" t="n">
        <v>1</v>
      </c>
      <c r="G127" t="n">
        <v>11</v>
      </c>
      <c r="H127" t="inlineStr">
        <is>
          <t>No</t>
        </is>
      </c>
      <c r="I127" t="inlineStr"/>
      <c r="J127" t="n">
        <v>1</v>
      </c>
      <c r="K127" t="n">
        <v>11</v>
      </c>
      <c r="L127" s="5">
        <f>HYPERLINK("https://api.qogita.com/variants/link/5902533301614/", "View Product")</f>
        <v/>
      </c>
    </row>
    <row r="128">
      <c r="A128" t="inlineStr">
        <is>
          <t>5902533301621</t>
        </is>
      </c>
      <c r="B128" t="inlineStr">
        <is>
          <t>Victoria Vynn Straight Nail File 320600</t>
        </is>
      </c>
      <c r="C128" t="inlineStr">
        <is>
          <t>Nail Care</t>
        </is>
      </c>
      <c r="D128" t="inlineStr">
        <is>
          <t>Victoria Vynn</t>
        </is>
      </c>
      <c r="E128" t="n">
        <v>1.38</v>
      </c>
      <c r="F128" t="n">
        <v>1</v>
      </c>
      <c r="G128" t="n">
        <v>16</v>
      </c>
      <c r="H128" t="inlineStr">
        <is>
          <t>No</t>
        </is>
      </c>
      <c r="I128" t="inlineStr"/>
      <c r="J128" t="n">
        <v>1</v>
      </c>
      <c r="K128" t="n">
        <v>16</v>
      </c>
      <c r="L128" s="5">
        <f>HYPERLINK("https://api.qogita.com/variants/link/5902533301621/", "View Product")</f>
        <v/>
      </c>
    </row>
    <row r="129">
      <c r="A129" t="inlineStr">
        <is>
          <t>5902533301645</t>
        </is>
      </c>
      <c r="B129" t="inlineStr">
        <is>
          <t>Victoria Vynn Straight Nail File 180240</t>
        </is>
      </c>
      <c r="C129" t="inlineStr">
        <is>
          <t>Nail Care</t>
        </is>
      </c>
      <c r="D129" t="inlineStr">
        <is>
          <t>Victoria Vynn</t>
        </is>
      </c>
      <c r="E129" t="n">
        <v>1.38</v>
      </c>
      <c r="F129" t="n">
        <v>1</v>
      </c>
      <c r="G129" t="n">
        <v>26</v>
      </c>
      <c r="H129" t="inlineStr">
        <is>
          <t>No</t>
        </is>
      </c>
      <c r="I129" t="inlineStr"/>
      <c r="J129" t="n">
        <v>1</v>
      </c>
      <c r="K129" t="n">
        <v>26</v>
      </c>
      <c r="L129" s="5">
        <f>HYPERLINK("https://api.qogita.com/variants/link/5902533301645/", "View Product")</f>
        <v/>
      </c>
    </row>
    <row r="130">
      <c r="A130" t="inlineStr">
        <is>
          <t>5902533301812</t>
        </is>
      </c>
      <c r="B130" t="inlineStr">
        <is>
          <t>Victoria Vynn Hard Rest Manicure Holder Black</t>
        </is>
      </c>
      <c r="C130" t="inlineStr">
        <is>
          <t>Manicure Sets</t>
        </is>
      </c>
      <c r="D130" t="inlineStr">
        <is>
          <t>Victoria Vynn</t>
        </is>
      </c>
      <c r="E130" t="n">
        <v>7.66</v>
      </c>
      <c r="F130" t="n">
        <v>1</v>
      </c>
      <c r="G130" t="n">
        <v>2</v>
      </c>
      <c r="H130" t="inlineStr">
        <is>
          <t>No</t>
        </is>
      </c>
      <c r="I130" t="inlineStr"/>
      <c r="J130" t="n">
        <v>1</v>
      </c>
      <c r="K130" t="n">
        <v>2</v>
      </c>
      <c r="L130" s="5">
        <f>HYPERLINK("https://api.qogita.com/variants/link/5902533301812/", "View Product")</f>
        <v/>
      </c>
    </row>
    <row r="131">
      <c r="A131" t="inlineStr">
        <is>
          <t>5902533303168</t>
        </is>
      </c>
      <c r="B131" t="inlineStr">
        <is>
          <t>Victoria Vynn Crescent Nail File 150150</t>
        </is>
      </c>
      <c r="C131" t="inlineStr">
        <is>
          <t>Nail Care</t>
        </is>
      </c>
      <c r="D131" t="inlineStr">
        <is>
          <t>Victoria Vynn</t>
        </is>
      </c>
      <c r="E131" t="n">
        <v>1.31</v>
      </c>
      <c r="F131" t="n">
        <v>1</v>
      </c>
      <c r="G131" t="n">
        <v>16</v>
      </c>
      <c r="H131" t="inlineStr">
        <is>
          <t>No</t>
        </is>
      </c>
      <c r="I131" t="inlineStr"/>
      <c r="J131" t="n">
        <v>1</v>
      </c>
      <c r="K131" t="n">
        <v>16</v>
      </c>
      <c r="L131" s="5">
        <f>HYPERLINK("https://api.qogita.com/variants/link/5902533303168/", "View Product")</f>
        <v/>
      </c>
    </row>
    <row r="132">
      <c r="A132" t="inlineStr">
        <is>
          <t>5902533303618</t>
        </is>
      </c>
      <c r="B132" t="inlineStr">
        <is>
          <t>Victoria Vynn 5 Oils Complex Nails &amp; Cuticles 9ml</t>
        </is>
      </c>
      <c r="C132" t="inlineStr">
        <is>
          <t>Nail Oil</t>
        </is>
      </c>
      <c r="D132" t="inlineStr">
        <is>
          <t>Victoria Vynn</t>
        </is>
      </c>
      <c r="E132" t="n">
        <v>3.26</v>
      </c>
      <c r="F132" t="n">
        <v>1</v>
      </c>
      <c r="G132" t="n">
        <v>3</v>
      </c>
      <c r="H132" t="inlineStr">
        <is>
          <t>No</t>
        </is>
      </c>
      <c r="I132" t="inlineStr"/>
      <c r="J132" t="n">
        <v>1</v>
      </c>
      <c r="K132" t="n">
        <v>3</v>
      </c>
      <c r="L132" s="5">
        <f>HYPERLINK("https://api.qogita.com/variants/link/5902533303618/", "View Product")</f>
        <v/>
      </c>
    </row>
    <row r="133">
      <c r="A133" t="inlineStr">
        <is>
          <t>5902533306220</t>
        </is>
      </c>
      <c r="B133" t="inlineStr">
        <is>
          <t>Victoria Vynn Nail File 100/180</t>
        </is>
      </c>
      <c r="C133" t="inlineStr">
        <is>
          <t>Nail Care</t>
        </is>
      </c>
      <c r="D133" t="inlineStr">
        <is>
          <t>Victoria Vynn</t>
        </is>
      </c>
      <c r="E133" t="n">
        <v>1.31</v>
      </c>
      <c r="F133" t="n">
        <v>1</v>
      </c>
      <c r="G133" t="n">
        <v>5</v>
      </c>
      <c r="H133" t="inlineStr">
        <is>
          <t>No</t>
        </is>
      </c>
      <c r="I133" t="inlineStr"/>
      <c r="J133" t="n">
        <v>1</v>
      </c>
      <c r="K133" t="n">
        <v>5</v>
      </c>
      <c r="L133" s="5">
        <f>HYPERLINK("https://api.qogita.com/variants/link/5902533306220/", "View Product")</f>
        <v/>
      </c>
    </row>
    <row r="134">
      <c r="A134" t="inlineStr">
        <is>
          <t>5902533306275</t>
        </is>
      </c>
      <c r="B134" t="inlineStr">
        <is>
          <t>Victoria Vynn BUFFER 320/500 Crescent Nail File</t>
        </is>
      </c>
      <c r="C134" t="inlineStr">
        <is>
          <t>Nail Care</t>
        </is>
      </c>
      <c r="D134" t="inlineStr">
        <is>
          <t>Victoria Vynn</t>
        </is>
      </c>
      <c r="E134" t="n">
        <v>3.46</v>
      </c>
      <c r="F134" t="n">
        <v>1</v>
      </c>
      <c r="G134" t="n">
        <v>6</v>
      </c>
      <c r="H134" t="inlineStr">
        <is>
          <t>No</t>
        </is>
      </c>
      <c r="I134" t="inlineStr"/>
      <c r="J134" t="n">
        <v>1</v>
      </c>
      <c r="K134" t="n">
        <v>6</v>
      </c>
      <c r="L134" s="5">
        <f>HYPERLINK("https://api.qogita.com/variants/link/5902533306275/", "View Product")</f>
        <v/>
      </c>
    </row>
    <row r="135">
      <c r="A135" t="inlineStr">
        <is>
          <t>5902533306664</t>
        </is>
      </c>
      <c r="B135" t="inlineStr">
        <is>
          <t>Victoria Vynn Nail File 100/180</t>
        </is>
      </c>
      <c r="C135" t="inlineStr">
        <is>
          <t>Nail Care</t>
        </is>
      </c>
      <c r="D135" t="inlineStr">
        <is>
          <t>Victoria Vynn</t>
        </is>
      </c>
      <c r="E135" t="n">
        <v>1.31</v>
      </c>
      <c r="F135" t="n">
        <v>1</v>
      </c>
      <c r="G135" t="n">
        <v>40</v>
      </c>
      <c r="H135" t="inlineStr">
        <is>
          <t>No</t>
        </is>
      </c>
      <c r="I135" t="inlineStr"/>
      <c r="J135" t="n">
        <v>1</v>
      </c>
      <c r="K135" t="n">
        <v>40</v>
      </c>
      <c r="L135" s="5">
        <f>HYPERLINK("https://api.qogita.com/variants/link/5902533306664/", "View Product")</f>
        <v/>
      </c>
    </row>
    <row r="136">
      <c r="A136" t="inlineStr">
        <is>
          <t>5902533306671</t>
        </is>
      </c>
      <c r="B136" t="inlineStr">
        <is>
          <t>Victoria Vynn Lima Media Luna Negra 100/180 Nail File</t>
        </is>
      </c>
      <c r="C136" t="inlineStr">
        <is>
          <t>Nail Care</t>
        </is>
      </c>
      <c r="D136" t="inlineStr">
        <is>
          <t>Victoria Vynn</t>
        </is>
      </c>
      <c r="E136" t="n">
        <v>1.38</v>
      </c>
      <c r="F136" t="n">
        <v>1</v>
      </c>
      <c r="G136" t="n">
        <v>3</v>
      </c>
      <c r="H136" t="inlineStr">
        <is>
          <t>No</t>
        </is>
      </c>
      <c r="I136" t="inlineStr"/>
      <c r="J136" t="n">
        <v>1</v>
      </c>
      <c r="K136" t="n">
        <v>3</v>
      </c>
      <c r="L136" s="5">
        <f>HYPERLINK("https://api.qogita.com/variants/link/5902533306671/", "View Product")</f>
        <v/>
      </c>
    </row>
    <row r="137">
      <c r="A137" t="inlineStr">
        <is>
          <t>5902533308125</t>
        </is>
      </c>
      <c r="B137" t="inlineStr">
        <is>
          <t>Victoria Vynn Empty Soak Off Manicure Bottle 150ml</t>
        </is>
      </c>
      <c r="C137" t="inlineStr">
        <is>
          <t>Nail Oil</t>
        </is>
      </c>
      <c r="D137" t="inlineStr">
        <is>
          <t>Victoria Vynn</t>
        </is>
      </c>
      <c r="E137" t="n">
        <v>2.22</v>
      </c>
      <c r="F137" t="n">
        <v>1</v>
      </c>
      <c r="G137" t="n">
        <v>7</v>
      </c>
      <c r="H137" t="inlineStr">
        <is>
          <t>No</t>
        </is>
      </c>
      <c r="I137" t="inlineStr"/>
      <c r="J137" t="n">
        <v>1</v>
      </c>
      <c r="K137" t="n">
        <v>7</v>
      </c>
      <c r="L137" s="5">
        <f>HYPERLINK("https://api.qogita.com/variants/link/5902533308125/", "View Product")</f>
        <v/>
      </c>
    </row>
    <row r="138">
      <c r="A138" t="inlineStr">
        <is>
          <t>5902533310845</t>
        </is>
      </c>
      <c r="B138" t="inlineStr">
        <is>
          <t>Victoria Vynn Manicure and Pedicure Brush - Blue</t>
        </is>
      </c>
      <c r="C138" t="inlineStr">
        <is>
          <t>Manicure Sets</t>
        </is>
      </c>
      <c r="D138" t="inlineStr">
        <is>
          <t>Victoria Vynn</t>
        </is>
      </c>
      <c r="E138" t="n">
        <v>2.4</v>
      </c>
      <c r="F138" t="n">
        <v>1</v>
      </c>
      <c r="G138" t="n">
        <v>8</v>
      </c>
      <c r="H138" t="inlineStr">
        <is>
          <t>No</t>
        </is>
      </c>
      <c r="I138" t="inlineStr"/>
      <c r="J138" t="n">
        <v>1</v>
      </c>
      <c r="K138" t="n">
        <v>8</v>
      </c>
      <c r="L138" s="5">
        <f>HYPERLINK("https://api.qogita.com/variants/link/5902533310845/", "View Product")</f>
        <v/>
      </c>
    </row>
    <row r="139">
      <c r="A139" t="inlineStr">
        <is>
          <t>5902533312108</t>
        </is>
      </c>
      <c r="B139" t="inlineStr">
        <is>
          <t>Victoria Vynn Lima Pedicure Reventa 150100</t>
        </is>
      </c>
      <c r="C139" t="inlineStr">
        <is>
          <t>Nail Care</t>
        </is>
      </c>
      <c r="D139" t="inlineStr">
        <is>
          <t>Victoria Vynn</t>
        </is>
      </c>
      <c r="E139" t="n">
        <v>2.16</v>
      </c>
      <c r="F139" t="n">
        <v>1</v>
      </c>
      <c r="G139" t="n">
        <v>1</v>
      </c>
      <c r="H139" t="inlineStr">
        <is>
          <t>No</t>
        </is>
      </c>
      <c r="I139" t="inlineStr"/>
      <c r="J139" t="n">
        <v>1</v>
      </c>
      <c r="K139" t="n">
        <v>1</v>
      </c>
      <c r="L139" s="5">
        <f>HYPERLINK("https://api.qogita.com/variants/link/5902533312108/", "View Product")</f>
        <v/>
      </c>
    </row>
    <row r="140">
      <c r="A140" t="inlineStr">
        <is>
          <t>5902533313617</t>
        </is>
      </c>
      <c r="B140" t="inlineStr">
        <is>
          <t>Victoria Vynn Cuticle Jelly Remover 30ml</t>
        </is>
      </c>
      <c r="C140" t="inlineStr">
        <is>
          <t>Cuticle Removers</t>
        </is>
      </c>
      <c r="D140" t="inlineStr">
        <is>
          <t>Victoria Vynn</t>
        </is>
      </c>
      <c r="E140" t="n">
        <v>5.75</v>
      </c>
      <c r="F140" t="n">
        <v>1</v>
      </c>
      <c r="G140" t="n">
        <v>3</v>
      </c>
      <c r="H140" t="inlineStr">
        <is>
          <t>No</t>
        </is>
      </c>
      <c r="I140" t="inlineStr"/>
      <c r="J140" t="n">
        <v>1</v>
      </c>
      <c r="K140" t="n">
        <v>3</v>
      </c>
      <c r="L140" s="5">
        <f>HYPERLINK("https://api.qogita.com/variants/link/5902533313617/", "View Product")</f>
        <v/>
      </c>
    </row>
    <row r="141">
      <c r="A141" t="inlineStr">
        <is>
          <t>5902533314256</t>
        </is>
      </c>
      <c r="B141" t="inlineStr">
        <is>
          <t>Victoria Vynn Nail File 180/240 Grit White Crescent - Pack of 10</t>
        </is>
      </c>
      <c r="C141" t="inlineStr">
        <is>
          <t>Nail Care</t>
        </is>
      </c>
      <c r="D141" t="inlineStr">
        <is>
          <t>Victoria Vynn</t>
        </is>
      </c>
      <c r="E141" t="n">
        <v>0.89</v>
      </c>
      <c r="F141" t="n">
        <v>1</v>
      </c>
      <c r="G141" t="n">
        <v>18</v>
      </c>
      <c r="H141" t="inlineStr">
        <is>
          <t>No</t>
        </is>
      </c>
      <c r="I141" t="inlineStr"/>
      <c r="J141" t="n">
        <v>1</v>
      </c>
      <c r="K141" t="n">
        <v>18</v>
      </c>
      <c r="L141" s="5">
        <f>HYPERLINK("https://api.qogita.com/variants/link/5902533314256/", "View Product")</f>
        <v/>
      </c>
    </row>
    <row r="142">
      <c r="A142" t="inlineStr">
        <is>
          <t>5902533314270</t>
        </is>
      </c>
      <c r="B142" t="inlineStr">
        <is>
          <t>Victoria Vynn Double Sided Nail File Emery Board Nail Styling Manicure Tools 180240 White Straight</t>
        </is>
      </c>
      <c r="C142" t="inlineStr">
        <is>
          <t>Nail Clippers &amp; Tools</t>
        </is>
      </c>
      <c r="D142" t="inlineStr">
        <is>
          <t>Victoria Vynn</t>
        </is>
      </c>
      <c r="E142" t="n">
        <v>0.89</v>
      </c>
      <c r="F142" t="n">
        <v>1</v>
      </c>
      <c r="G142" t="n">
        <v>14</v>
      </c>
      <c r="H142" t="inlineStr">
        <is>
          <t>No</t>
        </is>
      </c>
      <c r="I142" t="inlineStr"/>
      <c r="J142" t="n">
        <v>1</v>
      </c>
      <c r="K142" t="n">
        <v>14</v>
      </c>
      <c r="L142" s="5">
        <f>HYPERLINK("https://api.qogita.com/variants/link/5902533314270/", "View Product")</f>
        <v/>
      </c>
    </row>
    <row r="143">
      <c r="A143" t="inlineStr">
        <is>
          <t>5902533320127</t>
        </is>
      </c>
      <c r="B143" t="inlineStr">
        <is>
          <t>Victoria Vynn 3mm Cuticle Nippers</t>
        </is>
      </c>
      <c r="C143" t="inlineStr">
        <is>
          <t>Cuticle Removers</t>
        </is>
      </c>
      <c r="D143" t="inlineStr">
        <is>
          <t>Victoria Vynn</t>
        </is>
      </c>
      <c r="E143" t="n">
        <v>13.12</v>
      </c>
      <c r="F143" t="n">
        <v>1</v>
      </c>
      <c r="G143" t="n">
        <v>1</v>
      </c>
      <c r="H143" t="inlineStr">
        <is>
          <t>No</t>
        </is>
      </c>
      <c r="I143" t="inlineStr"/>
      <c r="J143" t="n">
        <v>1</v>
      </c>
      <c r="K143" t="n">
        <v>1</v>
      </c>
      <c r="L143" s="5">
        <f>HYPERLINK("https://api.qogita.com/variants/link/5902533320127/", "View Product")</f>
        <v/>
      </c>
    </row>
    <row r="144">
      <c r="A144" t="inlineStr">
        <is>
          <t>5902533320134</t>
        </is>
      </c>
      <c r="B144" t="inlineStr">
        <is>
          <t>Victoria Vynn Cuticle Nippers 5mm</t>
        </is>
      </c>
      <c r="C144" t="inlineStr">
        <is>
          <t>Cuticle Removers</t>
        </is>
      </c>
      <c r="D144" t="inlineStr">
        <is>
          <t>Victoria Vynn</t>
        </is>
      </c>
      <c r="E144" t="n">
        <v>12.45</v>
      </c>
      <c r="F144" t="n">
        <v>1</v>
      </c>
      <c r="G144" t="n">
        <v>1</v>
      </c>
      <c r="H144" t="inlineStr">
        <is>
          <t>No</t>
        </is>
      </c>
      <c r="I144" t="inlineStr"/>
      <c r="J144" t="n">
        <v>1</v>
      </c>
      <c r="K144" t="n">
        <v>1</v>
      </c>
      <c r="L144" s="5">
        <f>HYPERLINK("https://api.qogita.com/variants/link/5902533320134/", "View Product")</f>
        <v/>
      </c>
    </row>
    <row r="145">
      <c r="A145" t="inlineStr">
        <is>
          <t>5902533324316</t>
        </is>
      </c>
      <c r="B145" t="inlineStr">
        <is>
          <t>Victoria Vynn Mini Nail Files 180240 For Uvled Gel Polish Manicure Pack Of 25</t>
        </is>
      </c>
      <c r="C145" t="inlineStr">
        <is>
          <t>Manicure Sets</t>
        </is>
      </c>
      <c r="D145" t="inlineStr">
        <is>
          <t>Victoria Vynn</t>
        </is>
      </c>
      <c r="E145" t="n">
        <v>10.12</v>
      </c>
      <c r="F145" t="n">
        <v>1</v>
      </c>
      <c r="G145" t="n">
        <v>1</v>
      </c>
      <c r="H145" t="inlineStr">
        <is>
          <t>No</t>
        </is>
      </c>
      <c r="I145" t="inlineStr"/>
      <c r="J145" t="n">
        <v>1</v>
      </c>
      <c r="K145" t="n">
        <v>1</v>
      </c>
      <c r="L145" s="5">
        <f>HYPERLINK("https://api.qogita.com/variants/link/5902533324316/", "View Product")</f>
        <v/>
      </c>
    </row>
    <row r="146">
      <c r="A146" t="inlineStr">
        <is>
          <t>5902533324330</t>
        </is>
      </c>
      <c r="B146" t="inlineStr">
        <is>
          <t>Victoria Vynn Mini Nail Files 180240 For Uvled Gel Polish Manicure Pack Of 25</t>
        </is>
      </c>
      <c r="C146" t="inlineStr">
        <is>
          <t>Manicure Sets</t>
        </is>
      </c>
      <c r="D146" t="inlineStr">
        <is>
          <t>Victoria Vynn</t>
        </is>
      </c>
      <c r="E146" t="n">
        <v>10.12</v>
      </c>
      <c r="F146" t="n">
        <v>1</v>
      </c>
      <c r="G146" t="n">
        <v>1</v>
      </c>
      <c r="H146" t="inlineStr">
        <is>
          <t>No</t>
        </is>
      </c>
      <c r="I146" t="inlineStr"/>
      <c r="J146" t="n">
        <v>1</v>
      </c>
      <c r="K146" t="n">
        <v>1</v>
      </c>
      <c r="L146" s="5">
        <f>HYPERLINK("https://api.qogita.com/variants/link/5902533324330/", "View Product")</f>
        <v/>
      </c>
    </row>
    <row r="147">
      <c r="A147" t="inlineStr">
        <is>
          <t>5902533325092</t>
        </is>
      </c>
      <c r="B147" t="inlineStr">
        <is>
          <t>Victoria Vynn Senso Nail &amp; Cuticle Care Oil Manicure Treatment Conditioner 9ml</t>
        </is>
      </c>
      <c r="C147" t="inlineStr">
        <is>
          <t>Nail Oil</t>
        </is>
      </c>
      <c r="D147" t="inlineStr">
        <is>
          <t>Victoria Vynn</t>
        </is>
      </c>
      <c r="E147" t="n">
        <v>4.04</v>
      </c>
      <c r="F147" t="n">
        <v>1</v>
      </c>
      <c r="G147" t="n">
        <v>5</v>
      </c>
      <c r="H147" t="inlineStr">
        <is>
          <t>No</t>
        </is>
      </c>
      <c r="I147" t="inlineStr"/>
      <c r="J147" t="n">
        <v>1</v>
      </c>
      <c r="K147" t="n">
        <v>5</v>
      </c>
      <c r="L147" s="5">
        <f>HYPERLINK("https://api.qogita.com/variants/link/5902533325092/", "View Product")</f>
        <v/>
      </c>
    </row>
    <row r="148">
      <c r="A148" t="inlineStr">
        <is>
          <t>5902533325108</t>
        </is>
      </c>
      <c r="B148" t="inlineStr">
        <is>
          <t>Victoria Vynn Senso Nail &amp; Cuticle Care Oil Manicure Treatment Conditioner 9ml</t>
        </is>
      </c>
      <c r="C148" t="inlineStr">
        <is>
          <t>Nail Oil</t>
        </is>
      </c>
      <c r="D148" t="inlineStr">
        <is>
          <t>Victoria Vynn</t>
        </is>
      </c>
      <c r="E148" t="n">
        <v>4.04</v>
      </c>
      <c r="F148" t="n">
        <v>1</v>
      </c>
      <c r="G148" t="n">
        <v>6</v>
      </c>
      <c r="H148" t="inlineStr">
        <is>
          <t>No</t>
        </is>
      </c>
      <c r="I148" t="inlineStr"/>
      <c r="J148" t="n">
        <v>1</v>
      </c>
      <c r="K148" t="n">
        <v>6</v>
      </c>
      <c r="L148" s="5">
        <f>HYPERLINK("https://api.qogita.com/variants/link/5902533325108/", "View Product")</f>
        <v/>
      </c>
    </row>
    <row r="149">
      <c r="A149" t="inlineStr">
        <is>
          <t>5902533325115</t>
        </is>
      </c>
      <c r="B149" t="inlineStr">
        <is>
          <t>Victoria Vynn Senso Nail &amp; Cuticle Care Oil Manicure Treatment Conditioner 9ml</t>
        </is>
      </c>
      <c r="C149" t="inlineStr">
        <is>
          <t>Nail Oil</t>
        </is>
      </c>
      <c r="D149" t="inlineStr">
        <is>
          <t>Victoria Vynn</t>
        </is>
      </c>
      <c r="E149" t="n">
        <v>3.83</v>
      </c>
      <c r="F149" t="n">
        <v>1</v>
      </c>
      <c r="G149" t="n">
        <v>16</v>
      </c>
      <c r="H149" t="inlineStr">
        <is>
          <t>No</t>
        </is>
      </c>
      <c r="I149" t="inlineStr"/>
      <c r="J149" t="n">
        <v>1</v>
      </c>
      <c r="K149" t="n">
        <v>16</v>
      </c>
      <c r="L149" s="5">
        <f>HYPERLINK("https://api.qogita.com/variants/link/5902533325115/", "View Product")</f>
        <v/>
      </c>
    </row>
    <row r="150">
      <c r="A150" t="inlineStr">
        <is>
          <t>5902533325429</t>
        </is>
      </c>
      <c r="B150" t="inlineStr">
        <is>
          <t>Victoria Vynn Senso Nail Care Oil 3 x 9ml - Pack of 3</t>
        </is>
      </c>
      <c r="C150" t="inlineStr">
        <is>
          <t>Nail Oil</t>
        </is>
      </c>
      <c r="D150" t="inlineStr">
        <is>
          <t>Victoria Vynn</t>
        </is>
      </c>
      <c r="E150" t="n">
        <v>14.45</v>
      </c>
      <c r="F150" t="n">
        <v>1</v>
      </c>
      <c r="G150" t="n">
        <v>5</v>
      </c>
      <c r="H150" t="inlineStr">
        <is>
          <t>No</t>
        </is>
      </c>
      <c r="I150" t="inlineStr"/>
      <c r="J150" t="n">
        <v>1</v>
      </c>
      <c r="K150" t="n">
        <v>5</v>
      </c>
      <c r="L150" s="5">
        <f>HYPERLINK("https://api.qogita.com/variants/link/5902533325429/", "View Product")</f>
        <v/>
      </c>
    </row>
    <row r="151">
      <c r="A151" t="inlineStr">
        <is>
          <t>8135138411243</t>
        </is>
      </c>
      <c r="B151" t="inlineStr">
        <is>
          <t>BIFULL Plastic Cuticle Nipper 12cm</t>
        </is>
      </c>
      <c r="C151" t="inlineStr">
        <is>
          <t>Cuticle Removers</t>
        </is>
      </c>
      <c r="D151" t="inlineStr">
        <is>
          <t>Bifull</t>
        </is>
      </c>
      <c r="E151" t="n">
        <v>0.57</v>
      </c>
      <c r="F151" t="n">
        <v>1</v>
      </c>
      <c r="G151" t="n">
        <v>34</v>
      </c>
      <c r="H151" t="inlineStr">
        <is>
          <t>No</t>
        </is>
      </c>
      <c r="I151" t="inlineStr"/>
      <c r="J151" t="n">
        <v>1</v>
      </c>
      <c r="K151" t="n">
        <v>34</v>
      </c>
      <c r="L151" s="5">
        <f>HYPERLINK("https://api.qogita.com/variants/link/8135138411243/", "View Product")</f>
        <v/>
      </c>
    </row>
    <row r="152">
      <c r="A152" t="inlineStr">
        <is>
          <t>8435138400040</t>
        </is>
      </c>
      <c r="B152" t="inlineStr">
        <is>
          <t>Bifull Pedicure Manicure Set Black Standard</t>
        </is>
      </c>
      <c r="C152" t="inlineStr">
        <is>
          <t>Manicure Sets</t>
        </is>
      </c>
      <c r="D152" t="inlineStr">
        <is>
          <t>Bifull</t>
        </is>
      </c>
      <c r="E152" t="n">
        <v>0.5</v>
      </c>
      <c r="F152" t="n">
        <v>1</v>
      </c>
      <c r="G152" t="n">
        <v>48</v>
      </c>
      <c r="H152" t="inlineStr">
        <is>
          <t>No</t>
        </is>
      </c>
      <c r="I152" t="inlineStr"/>
      <c r="J152" t="n">
        <v>1</v>
      </c>
      <c r="K152" t="n">
        <v>48</v>
      </c>
      <c r="L152" s="5">
        <f>HYPERLINK("https://api.qogita.com/variants/link/8435138400040/", "View Product")</f>
        <v/>
      </c>
    </row>
    <row r="153">
      <c r="A153" t="inlineStr">
        <is>
          <t>8435138401450</t>
        </is>
      </c>
      <c r="B153" t="inlineStr">
        <is>
          <t>Perfect Beauty Nail Drill 35000 RPM</t>
        </is>
      </c>
      <c r="C153" t="inlineStr">
        <is>
          <t>Nail Care</t>
        </is>
      </c>
      <c r="D153" t="inlineStr">
        <is>
          <t>Perfect Beauty</t>
        </is>
      </c>
      <c r="E153" t="n">
        <v>42.35</v>
      </c>
      <c r="F153" t="n">
        <v>1</v>
      </c>
      <c r="G153" t="n">
        <v>2</v>
      </c>
      <c r="H153" t="inlineStr">
        <is>
          <t>No</t>
        </is>
      </c>
      <c r="I153" t="inlineStr"/>
      <c r="J153" t="n">
        <v>1</v>
      </c>
      <c r="K153" t="n">
        <v>2</v>
      </c>
      <c r="L153" s="5">
        <f>HYPERLINK("https://api.qogita.com/variants/link/8435138401450/", "View Product")</f>
        <v/>
      </c>
    </row>
    <row r="154">
      <c r="A154" t="inlineStr">
        <is>
          <t>8435138404192</t>
        </is>
      </c>
      <c r="B154" t="inlineStr">
        <is>
          <t>BIFULL C Shape Porcelain Nail Mould 100 Units - Black</t>
        </is>
      </c>
      <c r="C154" t="inlineStr">
        <is>
          <t>Nail Care</t>
        </is>
      </c>
      <c r="D154" t="inlineStr">
        <is>
          <t>Bifull</t>
        </is>
      </c>
      <c r="E154" t="n">
        <v>0.8100000000000001</v>
      </c>
      <c r="F154" t="n">
        <v>1</v>
      </c>
      <c r="G154" t="n">
        <v>10</v>
      </c>
      <c r="H154" t="inlineStr">
        <is>
          <t>No</t>
        </is>
      </c>
      <c r="I154" t="inlineStr"/>
      <c r="J154" t="n">
        <v>1</v>
      </c>
      <c r="K154" t="n">
        <v>10</v>
      </c>
      <c r="L154" s="5">
        <f>HYPERLINK("https://api.qogita.com/variants/link/8435138404192/", "View Product")</f>
        <v/>
      </c>
    </row>
    <row r="155">
      <c r="A155" t="inlineStr">
        <is>
          <t>8435138404239</t>
        </is>
      </c>
      <c r="B155" t="inlineStr">
        <is>
          <t>BIFULL Natural Manicure Tips 100 Units</t>
        </is>
      </c>
      <c r="C155" t="inlineStr">
        <is>
          <t>Nail Care</t>
        </is>
      </c>
      <c r="D155" t="inlineStr">
        <is>
          <t>Bifull</t>
        </is>
      </c>
      <c r="E155" t="n">
        <v>1.3</v>
      </c>
      <c r="F155" t="n">
        <v>1</v>
      </c>
      <c r="G155" t="n">
        <v>7</v>
      </c>
      <c r="H155" t="inlineStr">
        <is>
          <t>No</t>
        </is>
      </c>
      <c r="I155" t="inlineStr"/>
      <c r="J155" t="n">
        <v>1</v>
      </c>
      <c r="K155" t="n">
        <v>7</v>
      </c>
      <c r="L155" s="5">
        <f>HYPERLINK("https://api.qogita.com/variants/link/8435138404239/", "View Product")</f>
        <v/>
      </c>
    </row>
    <row r="156">
      <c r="A156" t="inlineStr">
        <is>
          <t>8435138404253</t>
        </is>
      </c>
      <c r="B156" t="inlineStr">
        <is>
          <t>Bifull Nail Form C Roll 500 Pieces Black Standard</t>
        </is>
      </c>
      <c r="C156" t="inlineStr">
        <is>
          <t>Nail Care</t>
        </is>
      </c>
      <c r="D156" t="inlineStr">
        <is>
          <t>Bifull</t>
        </is>
      </c>
      <c r="E156" t="n">
        <v>1.87</v>
      </c>
      <c r="F156" t="n">
        <v>1</v>
      </c>
      <c r="G156" t="n">
        <v>10</v>
      </c>
      <c r="H156" t="inlineStr">
        <is>
          <t>No</t>
        </is>
      </c>
      <c r="I156" t="inlineStr"/>
      <c r="J156" t="n">
        <v>1</v>
      </c>
      <c r="K156" t="n">
        <v>10</v>
      </c>
      <c r="L156" s="5">
        <f>HYPERLINK("https://api.qogita.com/variants/link/8435138404253/", "View Product")</f>
        <v/>
      </c>
    </row>
    <row r="157">
      <c r="A157" t="inlineStr">
        <is>
          <t>8435138406318</t>
        </is>
      </c>
      <c r="B157" t="inlineStr">
        <is>
          <t>BIFULL Nail Clippers 8cm</t>
        </is>
      </c>
      <c r="C157" t="inlineStr">
        <is>
          <t>Nail Clippers &amp; Tools</t>
        </is>
      </c>
      <c r="D157" t="inlineStr">
        <is>
          <t>Bifull</t>
        </is>
      </c>
      <c r="E157" t="n">
        <v>0.6899999999999999</v>
      </c>
      <c r="F157" t="n">
        <v>1</v>
      </c>
      <c r="G157" t="n">
        <v>17</v>
      </c>
      <c r="H157" t="inlineStr">
        <is>
          <t>No</t>
        </is>
      </c>
      <c r="I157" t="inlineStr"/>
      <c r="J157" t="n">
        <v>1</v>
      </c>
      <c r="K157" t="n">
        <v>17</v>
      </c>
      <c r="L157" s="5">
        <f>HYPERLINK("https://api.qogita.com/variants/link/8435138406318/", "View Product")</f>
        <v/>
      </c>
    </row>
    <row r="158">
      <c r="A158" t="inlineStr">
        <is>
          <t>8435138406325</t>
        </is>
      </c>
      <c r="B158" t="inlineStr">
        <is>
          <t>BIFULL Nail Brush</t>
        </is>
      </c>
      <c r="C158" t="inlineStr">
        <is>
          <t>Nail Care</t>
        </is>
      </c>
      <c r="D158" t="inlineStr">
        <is>
          <t>Bifull</t>
        </is>
      </c>
      <c r="E158" t="n">
        <v>0.72</v>
      </c>
      <c r="F158" t="n">
        <v>1</v>
      </c>
      <c r="G158" t="n">
        <v>7</v>
      </c>
      <c r="H158" t="inlineStr">
        <is>
          <t>No</t>
        </is>
      </c>
      <c r="I158" t="inlineStr"/>
      <c r="J158" t="n">
        <v>1</v>
      </c>
      <c r="K158" t="n">
        <v>7</v>
      </c>
      <c r="L158" s="5">
        <f>HYPERLINK("https://api.qogita.com/variants/link/8435138406325/", "View Product")</f>
        <v/>
      </c>
    </row>
    <row r="159">
      <c r="A159" t="inlineStr">
        <is>
          <t>8435138406783</t>
        </is>
      </c>
      <c r="B159" t="inlineStr">
        <is>
          <t>BIFULL Lima Pedicure Tool Purple</t>
        </is>
      </c>
      <c r="C159" t="inlineStr">
        <is>
          <t>Nail Clippers &amp; Tools</t>
        </is>
      </c>
      <c r="D159" t="inlineStr">
        <is>
          <t>Bifull</t>
        </is>
      </c>
      <c r="E159" t="n">
        <v>0.35</v>
      </c>
      <c r="F159" t="n">
        <v>1</v>
      </c>
      <c r="G159" t="n">
        <v>6</v>
      </c>
      <c r="H159" t="inlineStr">
        <is>
          <t>No</t>
        </is>
      </c>
      <c r="I159" t="inlineStr"/>
      <c r="J159" t="n">
        <v>1</v>
      </c>
      <c r="K159" t="n">
        <v>6</v>
      </c>
      <c r="L159" s="5">
        <f>HYPERLINK("https://api.qogita.com/variants/link/8435138406783/", "View Product")</f>
        <v/>
      </c>
    </row>
    <row r="160">
      <c r="A160" t="inlineStr">
        <is>
          <t>8435138408718</t>
        </is>
      </c>
      <c r="B160" t="inlineStr">
        <is>
          <t>Bifull Nail File Blue</t>
        </is>
      </c>
      <c r="C160" t="inlineStr">
        <is>
          <t>Nail Care</t>
        </is>
      </c>
      <c r="D160" t="inlineStr">
        <is>
          <t>Bifull</t>
        </is>
      </c>
      <c r="E160" t="n">
        <v>0.5600000000000001</v>
      </c>
      <c r="F160" t="n">
        <v>1</v>
      </c>
      <c r="G160" t="n">
        <v>12</v>
      </c>
      <c r="H160" t="inlineStr">
        <is>
          <t>No</t>
        </is>
      </c>
      <c r="I160" t="inlineStr"/>
      <c r="J160" t="n">
        <v>1</v>
      </c>
      <c r="K160" t="n">
        <v>12</v>
      </c>
      <c r="L160" s="5">
        <f>HYPERLINK("https://api.qogita.com/variants/link/8435138408718/", "View Product")</f>
        <v/>
      </c>
    </row>
    <row r="161">
      <c r="A161" t="inlineStr">
        <is>
          <t>8435138408756</t>
        </is>
      </c>
      <c r="B161" t="inlineStr">
        <is>
          <t>BIFULL White Manicure Bowl</t>
        </is>
      </c>
      <c r="C161" t="inlineStr">
        <is>
          <t>Manicure Sets</t>
        </is>
      </c>
      <c r="D161" t="inlineStr">
        <is>
          <t>Bifull</t>
        </is>
      </c>
      <c r="E161" t="n">
        <v>1.16</v>
      </c>
      <c r="F161" t="n">
        <v>1</v>
      </c>
      <c r="G161" t="n">
        <v>1</v>
      </c>
      <c r="H161" t="inlineStr">
        <is>
          <t>No</t>
        </is>
      </c>
      <c r="I161" t="inlineStr"/>
      <c r="J161" t="n">
        <v>1</v>
      </c>
      <c r="K161" t="n">
        <v>1</v>
      </c>
      <c r="L161" s="5">
        <f>HYPERLINK("https://api.qogita.com/variants/link/8435138408756/", "View Product")</f>
        <v/>
      </c>
    </row>
    <row r="162">
      <c r="A162" t="inlineStr">
        <is>
          <t>8435138411114</t>
        </is>
      </c>
      <c r="B162" t="inlineStr">
        <is>
          <t>BIFULL Straight Nail Scissors 9cm</t>
        </is>
      </c>
      <c r="C162" t="inlineStr">
        <is>
          <t>Nail Clippers &amp; Tools</t>
        </is>
      </c>
      <c r="D162" t="inlineStr">
        <is>
          <t>Bifull</t>
        </is>
      </c>
      <c r="E162" t="n">
        <v>1.47</v>
      </c>
      <c r="F162" t="n">
        <v>1</v>
      </c>
      <c r="G162" t="n">
        <v>11</v>
      </c>
      <c r="H162" t="inlineStr">
        <is>
          <t>No</t>
        </is>
      </c>
      <c r="I162" t="inlineStr"/>
      <c r="J162" t="n">
        <v>1</v>
      </c>
      <c r="K162" t="n">
        <v>11</v>
      </c>
      <c r="L162" s="5">
        <f>HYPERLINK("https://api.qogita.com/variants/link/8435138411114/", "View Product")</f>
        <v/>
      </c>
    </row>
    <row r="163">
      <c r="A163" t="inlineStr">
        <is>
          <t>8435138411190</t>
        </is>
      </c>
      <c r="B163" t="inlineStr">
        <is>
          <t>BIFULL Short Metal Cuticle Nipper</t>
        </is>
      </c>
      <c r="C163" t="inlineStr">
        <is>
          <t>Nail Clippers &amp; Tools</t>
        </is>
      </c>
      <c r="D163" t="inlineStr">
        <is>
          <t>Bifull</t>
        </is>
      </c>
      <c r="E163" t="n">
        <v>1.37</v>
      </c>
      <c r="F163" t="n">
        <v>1</v>
      </c>
      <c r="G163" t="n">
        <v>4</v>
      </c>
      <c r="H163" t="inlineStr">
        <is>
          <t>No</t>
        </is>
      </c>
      <c r="I163" t="inlineStr"/>
      <c r="J163" t="n">
        <v>1</v>
      </c>
      <c r="K163" t="n">
        <v>4</v>
      </c>
      <c r="L163" s="5">
        <f>HYPERLINK("https://api.qogita.com/variants/link/8435138411190/", "View Product")</f>
        <v/>
      </c>
    </row>
    <row r="164">
      <c r="A164" t="inlineStr">
        <is>
          <t>8435138411251</t>
        </is>
      </c>
      <c r="B164" t="inlineStr">
        <is>
          <t>BIFULL Cuticle Remover Plastic Lancet 125cm</t>
        </is>
      </c>
      <c r="C164" t="inlineStr">
        <is>
          <t>Cuticle Removers</t>
        </is>
      </c>
      <c r="D164" t="inlineStr">
        <is>
          <t>Bifull</t>
        </is>
      </c>
      <c r="E164" t="n">
        <v>0.82</v>
      </c>
      <c r="F164" t="n">
        <v>1</v>
      </c>
      <c r="G164" t="n">
        <v>10</v>
      </c>
      <c r="H164" t="inlineStr">
        <is>
          <t>No</t>
        </is>
      </c>
      <c r="I164" t="inlineStr"/>
      <c r="J164" t="n">
        <v>1</v>
      </c>
      <c r="K164" t="n">
        <v>10</v>
      </c>
      <c r="L164" s="5">
        <f>HYPERLINK("https://api.qogita.com/variants/link/8435138411251/", "View Product")</f>
        <v/>
      </c>
    </row>
    <row r="165">
      <c r="A165" t="inlineStr">
        <is>
          <t>8435138411268</t>
        </is>
      </c>
      <c r="B165" t="inlineStr">
        <is>
          <t>BIFULL Fine Tip Nail Clipper 10cm</t>
        </is>
      </c>
      <c r="C165" t="inlineStr">
        <is>
          <t>Nail Clippers &amp; Tools</t>
        </is>
      </c>
      <c r="D165" t="inlineStr">
        <is>
          <t>Bifull</t>
        </is>
      </c>
      <c r="E165" t="n">
        <v>2.85</v>
      </c>
      <c r="F165" t="n">
        <v>1</v>
      </c>
      <c r="G165" t="n">
        <v>5</v>
      </c>
      <c r="H165" t="inlineStr">
        <is>
          <t>No</t>
        </is>
      </c>
      <c r="I165" t="inlineStr"/>
      <c r="J165" t="n">
        <v>1</v>
      </c>
      <c r="K165" t="n">
        <v>5</v>
      </c>
      <c r="L165" s="5">
        <f>HYPERLINK("https://api.qogita.com/variants/link/8435138411268/", "View Product")</f>
        <v/>
      </c>
    </row>
    <row r="166">
      <c r="A166" t="inlineStr">
        <is>
          <t>8435138411275</t>
        </is>
      </c>
      <c r="B166" t="inlineStr">
        <is>
          <t>Bifull Professional Straight Nail Pliers 12 Cm Black White</t>
        </is>
      </c>
      <c r="C166" t="inlineStr">
        <is>
          <t>Nail Clippers &amp; Tools</t>
        </is>
      </c>
      <c r="D166" t="inlineStr">
        <is>
          <t>Bifull</t>
        </is>
      </c>
      <c r="E166" t="n">
        <v>5.28</v>
      </c>
      <c r="F166" t="n">
        <v>1</v>
      </c>
      <c r="G166" t="n">
        <v>5</v>
      </c>
      <c r="H166" t="inlineStr">
        <is>
          <t>No</t>
        </is>
      </c>
      <c r="I166" t="inlineStr"/>
      <c r="J166" t="n">
        <v>1</v>
      </c>
      <c r="K166" t="n">
        <v>5</v>
      </c>
      <c r="L166" s="5">
        <f>HYPERLINK("https://api.qogita.com/variants/link/8435138411275/", "View Product")</f>
        <v/>
      </c>
    </row>
    <row r="167">
      <c r="A167" t="inlineStr">
        <is>
          <t>8435138411282</t>
        </is>
      </c>
      <c r="B167" t="inlineStr">
        <is>
          <t>BIFULL Professional Curved Nail Clipper 14cm</t>
        </is>
      </c>
      <c r="C167" t="inlineStr">
        <is>
          <t>Nail Clippers &amp; Tools</t>
        </is>
      </c>
      <c r="D167" t="inlineStr">
        <is>
          <t>Bifull</t>
        </is>
      </c>
      <c r="E167" t="n">
        <v>5.66</v>
      </c>
      <c r="F167" t="n">
        <v>1</v>
      </c>
      <c r="G167" t="n">
        <v>18</v>
      </c>
      <c r="H167" t="inlineStr">
        <is>
          <t>No</t>
        </is>
      </c>
      <c r="I167" t="inlineStr"/>
      <c r="J167" t="n">
        <v>1</v>
      </c>
      <c r="K167" t="n">
        <v>18</v>
      </c>
      <c r="L167" s="5">
        <f>HYPERLINK("https://api.qogita.com/variants/link/8435138411282/", "View Product")</f>
        <v/>
      </c>
    </row>
    <row r="168">
      <c r="A168" t="inlineStr">
        <is>
          <t>8435138411299</t>
        </is>
      </c>
      <c r="B168" t="inlineStr">
        <is>
          <t>BIFULL Nail Clipper 8cm</t>
        </is>
      </c>
      <c r="C168" t="inlineStr">
        <is>
          <t>Nail Clippers &amp; Tools</t>
        </is>
      </c>
      <c r="D168" t="inlineStr">
        <is>
          <t>Bifull</t>
        </is>
      </c>
      <c r="E168" t="n">
        <v>1.52</v>
      </c>
      <c r="F168" t="n">
        <v>1</v>
      </c>
      <c r="G168" t="n">
        <v>17</v>
      </c>
      <c r="H168" t="inlineStr">
        <is>
          <t>No</t>
        </is>
      </c>
      <c r="I168" t="inlineStr"/>
      <c r="J168" t="n">
        <v>1</v>
      </c>
      <c r="K168" t="n">
        <v>17</v>
      </c>
      <c r="L168" s="5">
        <f>HYPERLINK("https://api.qogita.com/variants/link/8435138411299/", "View Product")</f>
        <v/>
      </c>
    </row>
    <row r="169">
      <c r="A169" t="inlineStr">
        <is>
          <t>8435138411497</t>
        </is>
      </c>
      <c r="B169" t="inlineStr">
        <is>
          <t>BIFULL Long Metal Cuticle Nipper 13cm</t>
        </is>
      </c>
      <c r="C169" t="inlineStr">
        <is>
          <t>Nail Clippers &amp; Tools</t>
        </is>
      </c>
      <c r="D169" t="inlineStr">
        <is>
          <t>Bifull</t>
        </is>
      </c>
      <c r="E169" t="n">
        <v>1.57</v>
      </c>
      <c r="F169" t="n">
        <v>1</v>
      </c>
      <c r="G169" t="n">
        <v>7</v>
      </c>
      <c r="H169" t="inlineStr">
        <is>
          <t>No</t>
        </is>
      </c>
      <c r="I169" t="inlineStr"/>
      <c r="J169" t="n">
        <v>1</v>
      </c>
      <c r="K169" t="n">
        <v>7</v>
      </c>
      <c r="L169" s="5">
        <f>HYPERLINK("https://api.qogita.com/variants/link/8435138411497/", "View Product")</f>
        <v/>
      </c>
    </row>
    <row r="170">
      <c r="A170" t="inlineStr">
        <is>
          <t>8435138411527</t>
        </is>
      </c>
      <c r="B170" t="inlineStr">
        <is>
          <t>BIFULL Mango Cuticle Remover Plastic 11cm</t>
        </is>
      </c>
      <c r="C170" t="inlineStr">
        <is>
          <t>Cuticle Removers</t>
        </is>
      </c>
      <c r="D170" t="inlineStr">
        <is>
          <t>Bifull</t>
        </is>
      </c>
      <c r="E170" t="n">
        <v>1.14</v>
      </c>
      <c r="F170" t="n">
        <v>1</v>
      </c>
      <c r="G170" t="n">
        <v>2</v>
      </c>
      <c r="H170" t="inlineStr">
        <is>
          <t>No</t>
        </is>
      </c>
      <c r="I170" t="inlineStr"/>
      <c r="J170" t="n">
        <v>1</v>
      </c>
      <c r="K170" t="n">
        <v>2</v>
      </c>
      <c r="L170" s="5">
        <f>HYPERLINK("https://api.qogita.com/variants/link/8435138411527/", "View Product")</f>
        <v/>
      </c>
    </row>
    <row r="171">
      <c r="A171" t="inlineStr">
        <is>
          <t>8435138412074</t>
        </is>
      </c>
      <c r="B171" t="inlineStr">
        <is>
          <t>BIFULL Professional Manicure Practice Hand for Nail Art Training</t>
        </is>
      </c>
      <c r="C171" t="inlineStr">
        <is>
          <t>Nail Care</t>
        </is>
      </c>
      <c r="D171" t="inlineStr">
        <is>
          <t>Bifull</t>
        </is>
      </c>
      <c r="E171" t="n">
        <v>0.3</v>
      </c>
      <c r="F171" t="n">
        <v>1</v>
      </c>
      <c r="G171" t="n">
        <v>59</v>
      </c>
      <c r="H171" t="inlineStr">
        <is>
          <t>No</t>
        </is>
      </c>
      <c r="I171" t="inlineStr"/>
      <c r="J171" t="n">
        <v>1</v>
      </c>
      <c r="K171" t="n">
        <v>59</v>
      </c>
      <c r="L171" s="5">
        <f>HYPERLINK("https://api.qogita.com/variants/link/8435138412074/", "View Product")</f>
        <v/>
      </c>
    </row>
    <row r="172">
      <c r="A172" t="inlineStr">
        <is>
          <t>8435138421298</t>
        </is>
      </c>
      <c r="B172" t="inlineStr">
        <is>
          <t>BIFULL Mini Black Nail File 100/180 - Pack of 2</t>
        </is>
      </c>
      <c r="C172" t="inlineStr">
        <is>
          <t>Nail Care</t>
        </is>
      </c>
      <c r="D172" t="inlineStr">
        <is>
          <t>Bifull</t>
        </is>
      </c>
      <c r="E172" t="n">
        <v>0.27</v>
      </c>
      <c r="F172" t="n">
        <v>1</v>
      </c>
      <c r="G172" t="n">
        <v>22</v>
      </c>
      <c r="H172" t="inlineStr">
        <is>
          <t>No</t>
        </is>
      </c>
      <c r="I172" t="inlineStr"/>
      <c r="J172" t="n">
        <v>1</v>
      </c>
      <c r="K172" t="n">
        <v>22</v>
      </c>
      <c r="L172" s="5">
        <f>HYPERLINK("https://api.qogita.com/variants/link/8435138421298/", "View Product")</f>
        <v/>
      </c>
    </row>
    <row r="173">
      <c r="A173" t="inlineStr">
        <is>
          <t>8435138421694</t>
        </is>
      </c>
      <c r="B173" t="inlineStr">
        <is>
          <t>BIFULL Ergonomic Lima Pedicure Tool</t>
        </is>
      </c>
      <c r="C173" t="inlineStr">
        <is>
          <t>Nail Clippers &amp; Tools</t>
        </is>
      </c>
      <c r="D173" t="inlineStr">
        <is>
          <t>Bifull</t>
        </is>
      </c>
      <c r="E173" t="n">
        <v>0.36</v>
      </c>
      <c r="F173" t="n">
        <v>1</v>
      </c>
      <c r="G173" t="n">
        <v>5</v>
      </c>
      <c r="H173" t="inlineStr">
        <is>
          <t>No</t>
        </is>
      </c>
      <c r="I173" t="inlineStr"/>
      <c r="J173" t="n">
        <v>1</v>
      </c>
      <c r="K173" t="n">
        <v>5</v>
      </c>
      <c r="L173" s="5">
        <f>HYPERLINK("https://api.qogita.com/variants/link/8435138421694/", "View Product")</f>
        <v/>
      </c>
    </row>
    <row r="174">
      <c r="A174" t="inlineStr">
        <is>
          <t>8435138422394</t>
        </is>
      </c>
      <c r="B174" t="inlineStr">
        <is>
          <t>BIFULL Ania Hands Green Manicure Cart</t>
        </is>
      </c>
      <c r="C174" t="inlineStr">
        <is>
          <t>Nail Care</t>
        </is>
      </c>
      <c r="D174" t="inlineStr">
        <is>
          <t>Bifull</t>
        </is>
      </c>
      <c r="E174" t="n">
        <v>38.5</v>
      </c>
      <c r="F174" t="n">
        <v>1</v>
      </c>
      <c r="G174" t="n">
        <v>1</v>
      </c>
      <c r="H174" t="inlineStr">
        <is>
          <t>No</t>
        </is>
      </c>
      <c r="I174" t="inlineStr"/>
      <c r="J174" t="n">
        <v>1</v>
      </c>
      <c r="K174" t="n">
        <v>1</v>
      </c>
      <c r="L174" s="5">
        <f>HYPERLINK("https://api.qogita.com/variants/link/8435138422394/", "View Product")</f>
        <v/>
      </c>
    </row>
    <row r="175">
      <c r="A175" t="inlineStr">
        <is>
          <t>8435138423704</t>
        </is>
      </c>
      <c r="B175" t="inlineStr">
        <is>
          <t>BIFULL Premium Nail Clipper 53cm</t>
        </is>
      </c>
      <c r="C175" t="inlineStr">
        <is>
          <t>Nail Clippers &amp; Tools</t>
        </is>
      </c>
      <c r="D175" t="inlineStr">
        <is>
          <t>Bifull</t>
        </is>
      </c>
      <c r="E175" t="n">
        <v>0.88</v>
      </c>
      <c r="F175" t="n">
        <v>1</v>
      </c>
      <c r="G175" t="n">
        <v>12</v>
      </c>
      <c r="H175" t="inlineStr">
        <is>
          <t>No</t>
        </is>
      </c>
      <c r="I175" t="inlineStr"/>
      <c r="J175" t="n">
        <v>1</v>
      </c>
      <c r="K175" t="n">
        <v>12</v>
      </c>
      <c r="L175" s="5">
        <f>HYPERLINK("https://api.qogita.com/variants/link/8435138423704/", "View Product")</f>
        <v/>
      </c>
    </row>
    <row r="176">
      <c r="A176" t="inlineStr">
        <is>
          <t>8435138423742</t>
        </is>
      </c>
      <c r="B176" t="inlineStr">
        <is>
          <t>BIFULL Long Metal Cuticle Pusher 13cm</t>
        </is>
      </c>
      <c r="C176" t="inlineStr">
        <is>
          <t>Cuticle Removers</t>
        </is>
      </c>
      <c r="D176" t="inlineStr">
        <is>
          <t>Bifull</t>
        </is>
      </c>
      <c r="E176" t="n">
        <v>2.29</v>
      </c>
      <c r="F176" t="n">
        <v>1</v>
      </c>
      <c r="G176" t="n">
        <v>47</v>
      </c>
      <c r="H176" t="inlineStr">
        <is>
          <t>No</t>
        </is>
      </c>
      <c r="I176" t="inlineStr"/>
      <c r="J176" t="n">
        <v>1</v>
      </c>
      <c r="K176" t="n">
        <v>47</v>
      </c>
      <c r="L176" s="5">
        <f>HYPERLINK("https://api.qogita.com/variants/link/8435138423742/", "View Product")</f>
        <v/>
      </c>
    </row>
    <row r="177">
      <c r="A177" t="inlineStr">
        <is>
          <t>8435138423759</t>
        </is>
      </c>
      <c r="B177" t="inlineStr">
        <is>
          <t>BIFULL Nail Clipper 12.2cm with 16mm Tip</t>
        </is>
      </c>
      <c r="C177" t="inlineStr">
        <is>
          <t>Nail Clippers &amp; Tools</t>
        </is>
      </c>
      <c r="D177" t="inlineStr">
        <is>
          <t>Bifull</t>
        </is>
      </c>
      <c r="E177" t="n">
        <v>6.73</v>
      </c>
      <c r="F177" t="n">
        <v>1</v>
      </c>
      <c r="G177" t="n">
        <v>8</v>
      </c>
      <c r="H177" t="inlineStr">
        <is>
          <t>No</t>
        </is>
      </c>
      <c r="I177" t="inlineStr"/>
      <c r="J177" t="n">
        <v>1</v>
      </c>
      <c r="K177" t="n">
        <v>8</v>
      </c>
      <c r="L177" s="5">
        <f>HYPERLINK("https://api.qogita.com/variants/link/8435138423759/", "View Product")</f>
        <v/>
      </c>
    </row>
    <row r="178">
      <c r="A178" t="inlineStr">
        <is>
          <t>8435138423773</t>
        </is>
      </c>
      <c r="B178" t="inlineStr">
        <is>
          <t>BIFULL Fine Point Nail Pliers 10cm 5mm Tip</t>
        </is>
      </c>
      <c r="C178" t="inlineStr">
        <is>
          <t>Nail Clippers &amp; Tools</t>
        </is>
      </c>
      <c r="D178" t="inlineStr">
        <is>
          <t>Bifull</t>
        </is>
      </c>
      <c r="E178" t="n">
        <v>6.45</v>
      </c>
      <c r="F178" t="n">
        <v>1</v>
      </c>
      <c r="G178" t="n">
        <v>4</v>
      </c>
      <c r="H178" t="inlineStr">
        <is>
          <t>No</t>
        </is>
      </c>
      <c r="I178" t="inlineStr"/>
      <c r="J178" t="n">
        <v>1</v>
      </c>
      <c r="K178" t="n">
        <v>4</v>
      </c>
      <c r="L178" s="5">
        <f>HYPERLINK("https://api.qogita.com/variants/link/8435138423773/", "View Product")</f>
        <v/>
      </c>
    </row>
    <row r="179">
      <c r="A179" t="inlineStr">
        <is>
          <t>8435138426002</t>
        </is>
      </c>
      <c r="B179" t="inlineStr">
        <is>
          <t>Bifull Pedicure Silky Red Pink Black Standard</t>
        </is>
      </c>
      <c r="C179" t="inlineStr">
        <is>
          <t>Nail Care</t>
        </is>
      </c>
      <c r="D179" t="inlineStr">
        <is>
          <t>Bifull</t>
        </is>
      </c>
      <c r="E179" t="n">
        <v>0.32</v>
      </c>
      <c r="F179" t="n">
        <v>1</v>
      </c>
      <c r="G179" t="n">
        <v>10</v>
      </c>
      <c r="H179" t="inlineStr">
        <is>
          <t>No</t>
        </is>
      </c>
      <c r="I179" t="inlineStr"/>
      <c r="J179" t="n">
        <v>1</v>
      </c>
      <c r="K179" t="n">
        <v>10</v>
      </c>
      <c r="L179" s="5">
        <f>HYPERLINK("https://api.qogita.com/variants/link/8435138426002/", "View Product")</f>
        <v/>
      </c>
    </row>
    <row r="180">
      <c r="A180" t="inlineStr">
        <is>
          <t>8435138427122</t>
        </is>
      </c>
      <c r="B180" t="inlineStr">
        <is>
          <t>BIFULL Lima Pedicure Sluc Blue</t>
        </is>
      </c>
      <c r="C180" t="inlineStr">
        <is>
          <t>Nail Care</t>
        </is>
      </c>
      <c r="D180" t="inlineStr">
        <is>
          <t>Bifull</t>
        </is>
      </c>
      <c r="E180" t="n">
        <v>1.23</v>
      </c>
      <c r="F180" t="n">
        <v>1</v>
      </c>
      <c r="G180" t="n">
        <v>12</v>
      </c>
      <c r="H180" t="inlineStr">
        <is>
          <t>No</t>
        </is>
      </c>
      <c r="I180" t="inlineStr"/>
      <c r="J180" t="n">
        <v>1</v>
      </c>
      <c r="K180" t="n">
        <v>12</v>
      </c>
      <c r="L180" s="5">
        <f>HYPERLINK("https://api.qogita.com/variants/link/8435138427122/", "View Product")</f>
        <v/>
      </c>
    </row>
    <row r="181">
      <c r="A181" t="inlineStr">
        <is>
          <t>8435138430894</t>
        </is>
      </c>
      <c r="B181" t="inlineStr">
        <is>
          <t>BIFULL Lima Uñas Crystalis Nail File</t>
        </is>
      </c>
      <c r="C181" t="inlineStr">
        <is>
          <t>Nail Care</t>
        </is>
      </c>
      <c r="D181" t="inlineStr">
        <is>
          <t>Bifull</t>
        </is>
      </c>
      <c r="E181" t="n">
        <v>0.84</v>
      </c>
      <c r="F181" t="n">
        <v>1</v>
      </c>
      <c r="G181" t="n">
        <v>11</v>
      </c>
      <c r="H181" t="inlineStr">
        <is>
          <t>No</t>
        </is>
      </c>
      <c r="I181" t="inlineStr"/>
      <c r="J181" t="n">
        <v>1</v>
      </c>
      <c r="K181" t="n">
        <v>11</v>
      </c>
      <c r="L181" s="5">
        <f>HYPERLINK("https://api.qogita.com/variants/link/8435138430894/", "View Product")</f>
        <v/>
      </c>
    </row>
    <row r="182">
      <c r="A182" t="inlineStr">
        <is>
          <t>8435138430900</t>
        </is>
      </c>
      <c r="B182" t="inlineStr">
        <is>
          <t>BIFULL Set of 5 Cuticle Removers</t>
        </is>
      </c>
      <c r="C182" t="inlineStr">
        <is>
          <t>Cuticle Removers</t>
        </is>
      </c>
      <c r="D182" t="inlineStr">
        <is>
          <t>Bifull</t>
        </is>
      </c>
      <c r="E182" t="n">
        <v>1.66</v>
      </c>
      <c r="F182" t="n">
        <v>1</v>
      </c>
      <c r="G182" t="n">
        <v>11</v>
      </c>
      <c r="H182" t="inlineStr">
        <is>
          <t>No</t>
        </is>
      </c>
      <c r="I182" t="inlineStr"/>
      <c r="J182" t="n">
        <v>1</v>
      </c>
      <c r="K182" t="n">
        <v>11</v>
      </c>
      <c r="L182" s="5">
        <f>HYPERLINK("https://api.qogita.com/variants/link/8435138430900/", "View Product")</f>
        <v/>
      </c>
    </row>
    <row r="183">
      <c r="A183" t="inlineStr">
        <is>
          <t>8435138430986</t>
        </is>
      </c>
      <c r="B183" t="inlineStr">
        <is>
          <t>Bifull Cloi Mini Manicure Set Blackwhite Standard</t>
        </is>
      </c>
      <c r="C183" t="inlineStr">
        <is>
          <t>Manicure Sets</t>
        </is>
      </c>
      <c r="D183" t="inlineStr">
        <is>
          <t>Bifull</t>
        </is>
      </c>
      <c r="E183" t="n">
        <v>5.72</v>
      </c>
      <c r="F183" t="n">
        <v>1</v>
      </c>
      <c r="G183" t="n">
        <v>2</v>
      </c>
      <c r="H183" t="inlineStr">
        <is>
          <t>No</t>
        </is>
      </c>
      <c r="I183" t="inlineStr"/>
      <c r="J183" t="n">
        <v>1</v>
      </c>
      <c r="K183" t="n">
        <v>2</v>
      </c>
      <c r="L183" s="5">
        <f>HYPERLINK("https://api.qogita.com/variants/link/8435138430986/", "View Product")</f>
        <v/>
      </c>
    </row>
    <row r="184">
      <c r="A184" t="inlineStr">
        <is>
          <t>8435138433659</t>
        </is>
      </c>
      <c r="B184" t="inlineStr">
        <is>
          <t>Bifull Manicure Kit 5 Pieces Topos Flip Flop Blackwhite Standard</t>
        </is>
      </c>
      <c r="C184" t="inlineStr">
        <is>
          <t>Manicure Sets</t>
        </is>
      </c>
      <c r="D184" t="inlineStr">
        <is>
          <t>Bifull</t>
        </is>
      </c>
      <c r="E184" t="n">
        <v>2.62</v>
      </c>
      <c r="F184" t="n">
        <v>1</v>
      </c>
      <c r="G184" t="n">
        <v>5</v>
      </c>
      <c r="H184" t="inlineStr">
        <is>
          <t>No</t>
        </is>
      </c>
      <c r="I184" t="inlineStr"/>
      <c r="J184" t="n">
        <v>1</v>
      </c>
      <c r="K184" t="n">
        <v>5</v>
      </c>
      <c r="L184" s="5">
        <f>HYPERLINK("https://api.qogita.com/variants/link/8435138433659/", "View Product")</f>
        <v/>
      </c>
    </row>
    <row r="185">
      <c r="A185" t="inlineStr">
        <is>
          <t>8435138433666</t>
        </is>
      </c>
      <c r="B185" t="inlineStr">
        <is>
          <t>BIFULL 5-Piece Leopard Print Flip Flop Manicure Kit</t>
        </is>
      </c>
      <c r="C185" t="inlineStr">
        <is>
          <t>Manicure Sets</t>
        </is>
      </c>
      <c r="D185" t="inlineStr">
        <is>
          <t>Bifull</t>
        </is>
      </c>
      <c r="E185" t="n">
        <v>2.07</v>
      </c>
      <c r="F185" t="n">
        <v>1</v>
      </c>
      <c r="G185" t="n">
        <v>6</v>
      </c>
      <c r="H185" t="inlineStr">
        <is>
          <t>No</t>
        </is>
      </c>
      <c r="I185" t="inlineStr"/>
      <c r="J185" t="n">
        <v>1</v>
      </c>
      <c r="K185" t="n">
        <v>6</v>
      </c>
      <c r="L185" s="5">
        <f>HYPERLINK("https://api.qogita.com/variants/link/8435138433666/", "View Product")</f>
        <v/>
      </c>
    </row>
    <row r="186">
      <c r="A186" t="inlineStr">
        <is>
          <t>8435138433673</t>
        </is>
      </c>
      <c r="B186" t="inlineStr">
        <is>
          <t>BIFULL 7-Piece Manicure Kit Black Scales</t>
        </is>
      </c>
      <c r="C186" t="inlineStr">
        <is>
          <t>Manicure Sets</t>
        </is>
      </c>
      <c r="D186" t="inlineStr">
        <is>
          <t>Bifull</t>
        </is>
      </c>
      <c r="E186" t="n">
        <v>1.92</v>
      </c>
      <c r="F186" t="n">
        <v>1</v>
      </c>
      <c r="G186" t="n">
        <v>6</v>
      </c>
      <c r="H186" t="inlineStr">
        <is>
          <t>No</t>
        </is>
      </c>
      <c r="I186" t="inlineStr"/>
      <c r="J186" t="n">
        <v>1</v>
      </c>
      <c r="K186" t="n">
        <v>6</v>
      </c>
      <c r="L186" s="5">
        <f>HYPERLINK("https://api.qogita.com/variants/link/8435138433673/", "View Product")</f>
        <v/>
      </c>
    </row>
    <row r="187">
      <c r="A187" t="inlineStr">
        <is>
          <t>8435138433697</t>
        </is>
      </c>
      <c r="B187" t="inlineStr">
        <is>
          <t>Bifull Kit 7 Pieces Cc Manicure Black White Standard</t>
        </is>
      </c>
      <c r="C187" t="inlineStr">
        <is>
          <t>Manicure Sets</t>
        </is>
      </c>
      <c r="D187" t="inlineStr">
        <is>
          <t>Bifull</t>
        </is>
      </c>
      <c r="E187" t="n">
        <v>5.16</v>
      </c>
      <c r="F187" t="n">
        <v>1</v>
      </c>
      <c r="G187" t="n">
        <v>2</v>
      </c>
      <c r="H187" t="inlineStr">
        <is>
          <t>No</t>
        </is>
      </c>
      <c r="I187" t="inlineStr"/>
      <c r="J187" t="n">
        <v>1</v>
      </c>
      <c r="K187" t="n">
        <v>2</v>
      </c>
      <c r="L187" s="5">
        <f>HYPERLINK("https://api.qogita.com/variants/link/8435138433697/", "View Product")</f>
        <v/>
      </c>
    </row>
    <row r="188">
      <c r="A188" t="inlineStr">
        <is>
          <t>8435138434434</t>
        </is>
      </c>
      <c r="B188" t="inlineStr">
        <is>
          <t>BIFULL Tracy Grace Nail Table with Vacuum</t>
        </is>
      </c>
      <c r="C188" t="inlineStr">
        <is>
          <t>Nail Care</t>
        </is>
      </c>
      <c r="D188" t="inlineStr">
        <is>
          <t>Bifull</t>
        </is>
      </c>
      <c r="E188" t="n">
        <v>53.95</v>
      </c>
      <c r="F188" t="n">
        <v>1</v>
      </c>
      <c r="G188" t="n">
        <v>1</v>
      </c>
      <c r="H188" t="inlineStr">
        <is>
          <t>No</t>
        </is>
      </c>
      <c r="I188" t="inlineStr"/>
      <c r="J188" t="n">
        <v>1</v>
      </c>
      <c r="K188" t="n">
        <v>1</v>
      </c>
      <c r="L188" s="5">
        <f>HYPERLINK("https://api.qogita.com/variants/link/8435138434434/", "View Product")</f>
        <v/>
      </c>
    </row>
    <row r="189">
      <c r="A189" t="inlineStr">
        <is>
          <t>8435138434960</t>
        </is>
      </c>
      <c r="B189" t="inlineStr">
        <is>
          <t>BIFULL Divine Manicure Kit</t>
        </is>
      </c>
      <c r="C189" t="inlineStr">
        <is>
          <t>Manicure Sets</t>
        </is>
      </c>
      <c r="D189" t="inlineStr">
        <is>
          <t>Bifull</t>
        </is>
      </c>
      <c r="E189" t="n">
        <v>12.02</v>
      </c>
      <c r="F189" t="n">
        <v>1</v>
      </c>
      <c r="G189" t="n">
        <v>1</v>
      </c>
      <c r="H189" t="inlineStr">
        <is>
          <t>No</t>
        </is>
      </c>
      <c r="I189" t="inlineStr"/>
      <c r="J189" t="n">
        <v>1</v>
      </c>
      <c r="K189" t="n">
        <v>1</v>
      </c>
      <c r="L189" s="5">
        <f>HYPERLINK("https://api.qogita.com/variants/link/8435138434960/", "View Product")</f>
        <v/>
      </c>
    </row>
    <row r="190">
      <c r="A190" t="inlineStr">
        <is>
          <t>8435138435110</t>
        </is>
      </c>
      <c r="B190" t="inlineStr">
        <is>
          <t>Bifull Square 100180 Nail File 10 Units Blackwhite Pack Of 10</t>
        </is>
      </c>
      <c r="C190" t="inlineStr">
        <is>
          <t>Nail Care Sets</t>
        </is>
      </c>
      <c r="D190" t="inlineStr">
        <is>
          <t>Bifull</t>
        </is>
      </c>
      <c r="E190" t="n">
        <v>2.64</v>
      </c>
      <c r="F190" t="n">
        <v>1</v>
      </c>
      <c r="G190" t="n">
        <v>4</v>
      </c>
      <c r="H190" t="inlineStr">
        <is>
          <t>No</t>
        </is>
      </c>
      <c r="I190" t="inlineStr"/>
      <c r="J190" t="n">
        <v>1</v>
      </c>
      <c r="K190" t="n">
        <v>4</v>
      </c>
      <c r="L190" s="5">
        <f>HYPERLINK("https://api.qogita.com/variants/link/8435138435110/", "View Product")</f>
        <v/>
      </c>
    </row>
    <row r="191">
      <c r="A191" t="inlineStr">
        <is>
          <t>8435138435523</t>
        </is>
      </c>
      <c r="B191" t="inlineStr">
        <is>
          <t>BIFULL Orange Stick Manicure Tools 72 Wooden Cuticle Pushers</t>
        </is>
      </c>
      <c r="C191" t="inlineStr">
        <is>
          <t>Nail Clippers &amp; Tools</t>
        </is>
      </c>
      <c r="D191" t="inlineStr">
        <is>
          <t>Bifull</t>
        </is>
      </c>
      <c r="E191" t="n">
        <v>0.14</v>
      </c>
      <c r="F191" t="n">
        <v>1</v>
      </c>
      <c r="G191" t="n">
        <v>13</v>
      </c>
      <c r="H191" t="inlineStr">
        <is>
          <t>No</t>
        </is>
      </c>
      <c r="I191" t="inlineStr"/>
      <c r="J191" t="n">
        <v>1</v>
      </c>
      <c r="K191" t="n">
        <v>13</v>
      </c>
      <c r="L191" s="5">
        <f>HYPERLINK("https://api.qogita.com/variants/link/8435138435523/", "View Product")</f>
        <v/>
      </c>
    </row>
    <row r="192">
      <c r="A192" t="inlineStr">
        <is>
          <t>8435138435530</t>
        </is>
      </c>
      <c r="B192" t="inlineStr">
        <is>
          <t>BIFULL Orange Stick Manicure Wooden Sticks</t>
        </is>
      </c>
      <c r="C192" t="inlineStr">
        <is>
          <t>Manicure Sets</t>
        </is>
      </c>
      <c r="D192" t="inlineStr">
        <is>
          <t>Bifull</t>
        </is>
      </c>
      <c r="E192" t="n">
        <v>0.2</v>
      </c>
      <c r="F192" t="n">
        <v>1</v>
      </c>
      <c r="G192" t="n">
        <v>5</v>
      </c>
      <c r="H192" t="inlineStr">
        <is>
          <t>No</t>
        </is>
      </c>
      <c r="I192" t="inlineStr"/>
      <c r="J192" t="n">
        <v>1</v>
      </c>
      <c r="K192" t="n">
        <v>5</v>
      </c>
      <c r="L192" s="5">
        <f>HYPERLINK("https://api.qogita.com/variants/link/8435138435530/", "View Product")</f>
        <v/>
      </c>
    </row>
    <row r="193">
      <c r="A193" t="inlineStr">
        <is>
          <t>8435138435547</t>
        </is>
      </c>
      <c r="B193" t="inlineStr">
        <is>
          <t>BIFULL Wooden Manicure Orange Stick 150 Count</t>
        </is>
      </c>
      <c r="C193" t="inlineStr">
        <is>
          <t>Manicure Sets</t>
        </is>
      </c>
      <c r="D193" t="inlineStr">
        <is>
          <t>Bifull</t>
        </is>
      </c>
      <c r="E193" t="n">
        <v>0.23</v>
      </c>
      <c r="F193" t="n">
        <v>1</v>
      </c>
      <c r="G193" t="n">
        <v>8</v>
      </c>
      <c r="H193" t="inlineStr">
        <is>
          <t>No</t>
        </is>
      </c>
      <c r="I193" t="inlineStr"/>
      <c r="J193" t="n">
        <v>1</v>
      </c>
      <c r="K193" t="n">
        <v>8</v>
      </c>
      <c r="L193" s="5">
        <f>HYPERLINK("https://api.qogita.com/variants/link/8435138435547/", "View Product")</f>
        <v/>
      </c>
    </row>
    <row r="194">
      <c r="A194" t="inlineStr">
        <is>
          <t>8435138435868</t>
        </is>
      </c>
      <c r="B194" t="inlineStr">
        <is>
          <t>BIFULL Lima Cushioned Nail File with Diamond Black 100/180 Grit - 1 Unit</t>
        </is>
      </c>
      <c r="C194" t="inlineStr">
        <is>
          <t>Nail Care</t>
        </is>
      </c>
      <c r="D194" t="inlineStr">
        <is>
          <t>Bifull</t>
        </is>
      </c>
      <c r="E194" t="n">
        <v>0.27</v>
      </c>
      <c r="F194" t="n">
        <v>1</v>
      </c>
      <c r="G194" t="n">
        <v>12</v>
      </c>
      <c r="H194" t="inlineStr">
        <is>
          <t>No</t>
        </is>
      </c>
      <c r="I194" t="inlineStr"/>
      <c r="J194" t="n">
        <v>1</v>
      </c>
      <c r="K194" t="n">
        <v>12</v>
      </c>
      <c r="L194" s="5">
        <f>HYPERLINK("https://api.qogita.com/variants/link/8435138435868/", "View Product")</f>
        <v/>
      </c>
    </row>
    <row r="195">
      <c r="A195" t="inlineStr">
        <is>
          <t>8435138435936</t>
        </is>
      </c>
      <c r="B195" t="inlineStr">
        <is>
          <t>Bifull Square 100180 Nail File 10 Units Blackwhite Pack Of 10</t>
        </is>
      </c>
      <c r="C195" t="inlineStr">
        <is>
          <t>Nail Care Sets</t>
        </is>
      </c>
      <c r="D195" t="inlineStr">
        <is>
          <t>Bifull</t>
        </is>
      </c>
      <c r="E195" t="n">
        <v>2.64</v>
      </c>
      <c r="F195" t="n">
        <v>1</v>
      </c>
      <c r="G195" t="n">
        <v>4</v>
      </c>
      <c r="H195" t="inlineStr">
        <is>
          <t>No</t>
        </is>
      </c>
      <c r="I195" t="inlineStr"/>
      <c r="J195" t="n">
        <v>1</v>
      </c>
      <c r="K195" t="n">
        <v>4</v>
      </c>
      <c r="L195" s="5">
        <f>HYPERLINK("https://api.qogita.com/variants/link/8435138435936/", "View Product")</f>
        <v/>
      </c>
    </row>
    <row r="196">
      <c r="A196" t="inlineStr">
        <is>
          <t>8435138435943</t>
        </is>
      </c>
      <c r="B196" t="inlineStr">
        <is>
          <t>BIFULL Straight White Cushioned Nail Files 100/180 - Pack of 10</t>
        </is>
      </c>
      <c r="C196" t="inlineStr">
        <is>
          <t>Nail Care</t>
        </is>
      </c>
      <c r="D196" t="inlineStr">
        <is>
          <t>Bifull</t>
        </is>
      </c>
      <c r="E196" t="n">
        <v>2.21</v>
      </c>
      <c r="F196" t="n">
        <v>1</v>
      </c>
      <c r="G196" t="n">
        <v>6</v>
      </c>
      <c r="H196" t="inlineStr">
        <is>
          <t>No</t>
        </is>
      </c>
      <c r="I196" t="inlineStr"/>
      <c r="J196" t="n">
        <v>1</v>
      </c>
      <c r="K196" t="n">
        <v>6</v>
      </c>
      <c r="L196" s="5">
        <f>HYPERLINK("https://api.qogita.com/variants/link/8435138435943/", "View Product")</f>
        <v/>
      </c>
    </row>
    <row r="197">
      <c r="A197" t="inlineStr">
        <is>
          <t>8435138435950</t>
        </is>
      </c>
      <c r="B197" t="inlineStr">
        <is>
          <t>Bifull Curve 100180 Blackwhite Nail File 10 Units Pack Of 10</t>
        </is>
      </c>
      <c r="C197" t="inlineStr">
        <is>
          <t>Nail Care Sets</t>
        </is>
      </c>
      <c r="D197" t="inlineStr">
        <is>
          <t>Bifull</t>
        </is>
      </c>
      <c r="E197" t="n">
        <v>2.64</v>
      </c>
      <c r="F197" t="n">
        <v>1</v>
      </c>
      <c r="G197" t="n">
        <v>5</v>
      </c>
      <c r="H197" t="inlineStr">
        <is>
          <t>No</t>
        </is>
      </c>
      <c r="I197" t="inlineStr"/>
      <c r="J197" t="n">
        <v>1</v>
      </c>
      <c r="K197" t="n">
        <v>5</v>
      </c>
      <c r="L197" s="5">
        <f>HYPERLINK("https://api.qogita.com/variants/link/8435138435950/", "View Product")</f>
        <v/>
      </c>
    </row>
    <row r="198">
      <c r="A198" t="inlineStr">
        <is>
          <t>8435138436001</t>
        </is>
      </c>
      <c r="B198" t="inlineStr">
        <is>
          <t>Bifull Padded Curved White Nail File 100180</t>
        </is>
      </c>
      <c r="C198" t="inlineStr">
        <is>
          <t>Nail Care</t>
        </is>
      </c>
      <c r="D198" t="inlineStr">
        <is>
          <t>Bifull</t>
        </is>
      </c>
      <c r="E198" t="n">
        <v>0.27</v>
      </c>
      <c r="F198" t="n">
        <v>1</v>
      </c>
      <c r="G198" t="n">
        <v>12</v>
      </c>
      <c r="H198" t="inlineStr">
        <is>
          <t>No</t>
        </is>
      </c>
      <c r="I198" t="inlineStr"/>
      <c r="J198" t="n">
        <v>1</v>
      </c>
      <c r="K198" t="n">
        <v>12</v>
      </c>
      <c r="L198" s="5">
        <f>HYPERLINK("https://api.qogita.com/variants/link/8435138436001/", "View Product")</f>
        <v/>
      </c>
    </row>
    <row r="199">
      <c r="A199" t="inlineStr">
        <is>
          <t>8435138446413</t>
        </is>
      </c>
      <c r="B199" t="inlineStr">
        <is>
          <t>Perfect Beauty Ceramic Nail File Set 332 Torch Cylinder C</t>
        </is>
      </c>
      <c r="C199" t="inlineStr">
        <is>
          <t>Manicure Sets</t>
        </is>
      </c>
      <c r="D199" t="inlineStr">
        <is>
          <t>Perfect Beauty</t>
        </is>
      </c>
      <c r="E199" t="n">
        <v>2.13</v>
      </c>
      <c r="F199" t="n">
        <v>1</v>
      </c>
      <c r="G199" t="n">
        <v>7</v>
      </c>
      <c r="H199" t="inlineStr">
        <is>
          <t>No</t>
        </is>
      </c>
      <c r="I199" t="inlineStr"/>
      <c r="J199" t="n">
        <v>1</v>
      </c>
      <c r="K199" t="n">
        <v>7</v>
      </c>
      <c r="L199" s="5">
        <f>HYPERLINK("https://api.qogita.com/variants/link/8435138446413/", "View Product")</f>
        <v/>
      </c>
    </row>
    <row r="200">
      <c r="A200" t="inlineStr">
        <is>
          <t>8435138449063</t>
        </is>
      </c>
      <c r="B200" t="inlineStr">
        <is>
          <t>Bifull Double File Nail File with Disposable Refills 100 Granule Very Hard</t>
        </is>
      </c>
      <c r="C200" t="inlineStr">
        <is>
          <t>Nail Clippers &amp; Tools</t>
        </is>
      </c>
      <c r="D200" t="inlineStr">
        <is>
          <t>Bifull</t>
        </is>
      </c>
      <c r="E200" t="n">
        <v>4.1</v>
      </c>
      <c r="F200" t="n">
        <v>1</v>
      </c>
      <c r="G200" t="n">
        <v>5</v>
      </c>
      <c r="H200" t="inlineStr">
        <is>
          <t>No</t>
        </is>
      </c>
      <c r="I200" t="inlineStr"/>
      <c r="J200" t="n">
        <v>1</v>
      </c>
      <c r="K200" t="n">
        <v>5</v>
      </c>
      <c r="L200" s="5">
        <f>HYPERLINK("https://api.qogita.com/variants/link/8435138449063/", "View Product")</f>
        <v/>
      </c>
    </row>
    <row r="201">
      <c r="A201" t="inlineStr">
        <is>
          <t>8435138451387</t>
        </is>
      </c>
      <c r="B201" t="inlineStr">
        <is>
          <t>Perfect Beauty Portable Sonic Nail Drill 35000 RPM</t>
        </is>
      </c>
      <c r="C201" t="inlineStr">
        <is>
          <t>Nail Care</t>
        </is>
      </c>
      <c r="D201" t="inlineStr">
        <is>
          <t>Perfect Beauty</t>
        </is>
      </c>
      <c r="E201" t="n">
        <v>45.54</v>
      </c>
      <c r="F201" t="n">
        <v>1</v>
      </c>
      <c r="G201" t="n">
        <v>7</v>
      </c>
      <c r="H201" t="inlineStr">
        <is>
          <t>No</t>
        </is>
      </c>
      <c r="I201" t="inlineStr"/>
      <c r="J201" t="n">
        <v>1</v>
      </c>
      <c r="K201" t="n">
        <v>7</v>
      </c>
      <c r="L201" s="5">
        <f>HYPERLINK("https://api.qogita.com/variants/link/8435138451387/", "View Product")</f>
        <v/>
      </c>
    </row>
    <row r="202">
      <c r="A202" t="inlineStr">
        <is>
          <t>8435138456108</t>
        </is>
      </c>
      <c r="B202" t="inlineStr">
        <is>
          <t>BIFULL Almond Nail Mold</t>
        </is>
      </c>
      <c r="C202" t="inlineStr">
        <is>
          <t>Nail Care</t>
        </is>
      </c>
      <c r="D202" t="inlineStr">
        <is>
          <t>Bifull</t>
        </is>
      </c>
      <c r="E202" t="n">
        <v>2.59</v>
      </c>
      <c r="F202" t="n">
        <v>1</v>
      </c>
      <c r="G202" t="n">
        <v>2</v>
      </c>
      <c r="H202" t="inlineStr">
        <is>
          <t>No</t>
        </is>
      </c>
      <c r="I202" t="inlineStr"/>
      <c r="J202" t="n">
        <v>1</v>
      </c>
      <c r="K202" t="n">
        <v>2</v>
      </c>
      <c r="L202" s="5">
        <f>HYPERLINK("https://api.qogita.com/variants/link/8435138456108/", "View Product")</f>
        <v/>
      </c>
    </row>
    <row r="203">
      <c r="A203" t="inlineStr">
        <is>
          <t>8435138456115</t>
        </is>
      </c>
      <c r="B203" t="inlineStr">
        <is>
          <t>BIFULL Oval Nail Mold</t>
        </is>
      </c>
      <c r="C203" t="inlineStr">
        <is>
          <t>Nail Care</t>
        </is>
      </c>
      <c r="D203" t="inlineStr">
        <is>
          <t>Bifull</t>
        </is>
      </c>
      <c r="E203" t="n">
        <v>4.03</v>
      </c>
      <c r="F203" t="n">
        <v>1</v>
      </c>
      <c r="G203" t="n">
        <v>1</v>
      </c>
      <c r="H203" t="inlineStr">
        <is>
          <t>No</t>
        </is>
      </c>
      <c r="I203" t="inlineStr"/>
      <c r="J203" t="n">
        <v>1</v>
      </c>
      <c r="K203" t="n">
        <v>1</v>
      </c>
      <c r="L203" s="5">
        <f>HYPERLINK("https://api.qogita.com/variants/link/8435138456115/", "View Product")</f>
        <v/>
      </c>
    </row>
    <row r="204">
      <c r="A204" t="inlineStr">
        <is>
          <t>8435138456122</t>
        </is>
      </c>
      <c r="B204" t="inlineStr">
        <is>
          <t>BIFULL Stiletto Nail Mold</t>
        </is>
      </c>
      <c r="C204" t="inlineStr">
        <is>
          <t>Nail Care</t>
        </is>
      </c>
      <c r="D204" t="inlineStr">
        <is>
          <t>Bifull</t>
        </is>
      </c>
      <c r="E204" t="n">
        <v>4.03</v>
      </c>
      <c r="F204" t="n">
        <v>1</v>
      </c>
      <c r="G204" t="n">
        <v>1</v>
      </c>
      <c r="H204" t="inlineStr">
        <is>
          <t>No</t>
        </is>
      </c>
      <c r="I204" t="inlineStr"/>
      <c r="J204" t="n">
        <v>1</v>
      </c>
      <c r="K204" t="n">
        <v>1</v>
      </c>
      <c r="L204" s="5">
        <f>HYPERLINK("https://api.qogita.com/variants/link/8435138456122/", "View Product")</f>
        <v/>
      </c>
    </row>
    <row r="205">
      <c r="A205" t="inlineStr">
        <is>
          <t>8435138456191</t>
        </is>
      </c>
      <c r="B205" t="inlineStr">
        <is>
          <t>BIFULL Stainless Steel Nail Clipper for Acrylic or Gel Nails</t>
        </is>
      </c>
      <c r="C205" t="inlineStr">
        <is>
          <t>Nail Clippers &amp; Tools</t>
        </is>
      </c>
      <c r="D205" t="inlineStr">
        <is>
          <t>Bifull</t>
        </is>
      </c>
      <c r="E205" t="n">
        <v>0.86</v>
      </c>
      <c r="F205" t="n">
        <v>1</v>
      </c>
      <c r="G205" t="n">
        <v>10</v>
      </c>
      <c r="H205" t="inlineStr">
        <is>
          <t>No</t>
        </is>
      </c>
      <c r="I205" t="inlineStr"/>
      <c r="J205" t="n">
        <v>1</v>
      </c>
      <c r="K205" t="n">
        <v>10</v>
      </c>
      <c r="L205" s="5">
        <f>HYPERLINK("https://api.qogita.com/variants/link/8435138456191/", "View Product")</f>
        <v/>
      </c>
    </row>
    <row r="206">
      <c r="A206" t="inlineStr">
        <is>
          <t>8435138456207</t>
        </is>
      </c>
      <c r="B206" t="inlineStr">
        <is>
          <t>BIFULL Gel Nail Clips for Acrylic and Acrygel 2cm and 5cm</t>
        </is>
      </c>
      <c r="C206" t="inlineStr">
        <is>
          <t>Nail Clippers &amp; Tools</t>
        </is>
      </c>
      <c r="D206" t="inlineStr">
        <is>
          <t>Bifull</t>
        </is>
      </c>
      <c r="E206" t="n">
        <v>1.44</v>
      </c>
      <c r="F206" t="n">
        <v>1</v>
      </c>
      <c r="G206" t="n">
        <v>5</v>
      </c>
      <c r="H206" t="inlineStr">
        <is>
          <t>No</t>
        </is>
      </c>
      <c r="I206" t="inlineStr"/>
      <c r="J206" t="n">
        <v>1</v>
      </c>
      <c r="K206" t="n">
        <v>5</v>
      </c>
      <c r="L206" s="5">
        <f>HYPERLINK("https://api.qogita.com/variants/link/8435138456207/", "View Product")</f>
        <v/>
      </c>
    </row>
    <row r="207">
      <c r="A207" t="inlineStr">
        <is>
          <t>8435138456214</t>
        </is>
      </c>
      <c r="B207" t="inlineStr">
        <is>
          <t>BIFULL Transparent Nail Clips - Pack of 5</t>
        </is>
      </c>
      <c r="C207" t="inlineStr">
        <is>
          <t>Nail Clippers &amp; Tools</t>
        </is>
      </c>
      <c r="D207" t="inlineStr">
        <is>
          <t>Bifull</t>
        </is>
      </c>
      <c r="E207" t="n">
        <v>0.82</v>
      </c>
      <c r="F207" t="n">
        <v>1</v>
      </c>
      <c r="G207" t="n">
        <v>4</v>
      </c>
      <c r="H207" t="inlineStr">
        <is>
          <t>No</t>
        </is>
      </c>
      <c r="I207" t="inlineStr"/>
      <c r="J207" t="n">
        <v>1</v>
      </c>
      <c r="K207" t="n">
        <v>4</v>
      </c>
      <c r="L207" s="5">
        <f>HYPERLINK("https://api.qogita.com/variants/link/8435138456214/", "View Product")</f>
        <v/>
      </c>
    </row>
    <row r="208">
      <c r="A208" t="inlineStr">
        <is>
          <t>8435138456252</t>
        </is>
      </c>
      <c r="B208" t="inlineStr">
        <is>
          <t>BIFULL Professional Nail File 150/150 Moon White</t>
        </is>
      </c>
      <c r="C208" t="inlineStr">
        <is>
          <t>Nail Care</t>
        </is>
      </c>
      <c r="D208" t="inlineStr">
        <is>
          <t>Bifull</t>
        </is>
      </c>
      <c r="E208" t="n">
        <v>0.48</v>
      </c>
      <c r="F208" t="n">
        <v>1</v>
      </c>
      <c r="G208" t="n">
        <v>8</v>
      </c>
      <c r="H208" t="inlineStr">
        <is>
          <t>No</t>
        </is>
      </c>
      <c r="I208" t="inlineStr"/>
      <c r="J208" t="n">
        <v>1</v>
      </c>
      <c r="K208" t="n">
        <v>8</v>
      </c>
      <c r="L208" s="5">
        <f>HYPERLINK("https://api.qogita.com/variants/link/8435138456252/", "View Product")</f>
        <v/>
      </c>
    </row>
    <row r="209">
      <c r="A209" t="inlineStr">
        <is>
          <t>8435138456283</t>
        </is>
      </c>
      <c r="B209" t="inlineStr">
        <is>
          <t>BIFULL Professional Nail File 180/220 Grit Moon White</t>
        </is>
      </c>
      <c r="C209" t="inlineStr">
        <is>
          <t>Nail Care</t>
        </is>
      </c>
      <c r="D209" t="inlineStr">
        <is>
          <t>Bifull</t>
        </is>
      </c>
      <c r="E209" t="n">
        <v>0.46</v>
      </c>
      <c r="F209" t="n">
        <v>1</v>
      </c>
      <c r="G209" t="n">
        <v>3</v>
      </c>
      <c r="H209" t="inlineStr">
        <is>
          <t>No</t>
        </is>
      </c>
      <c r="I209" t="inlineStr"/>
      <c r="J209" t="n">
        <v>1</v>
      </c>
      <c r="K209" t="n">
        <v>3</v>
      </c>
      <c r="L209" s="5">
        <f>HYPERLINK("https://api.qogita.com/variants/link/8435138456283/", "View Product")</f>
        <v/>
      </c>
    </row>
    <row r="210">
      <c r="A210" t="inlineStr">
        <is>
          <t>8435138456412</t>
        </is>
      </c>
      <c r="B210" t="inlineStr">
        <is>
          <t>Bifull XXL Ballerina Tips Transparent Nail Extensions</t>
        </is>
      </c>
      <c r="C210" t="inlineStr">
        <is>
          <t>Nail Care</t>
        </is>
      </c>
      <c r="D210" t="inlineStr">
        <is>
          <t>Bifull</t>
        </is>
      </c>
      <c r="E210" t="n">
        <v>2.46</v>
      </c>
      <c r="F210" t="n">
        <v>1</v>
      </c>
      <c r="G210" t="n">
        <v>4</v>
      </c>
      <c r="H210" t="inlineStr">
        <is>
          <t>No</t>
        </is>
      </c>
      <c r="I210" t="inlineStr"/>
      <c r="J210" t="n">
        <v>1</v>
      </c>
      <c r="K210" t="n">
        <v>4</v>
      </c>
      <c r="L210" s="5">
        <f>HYPERLINK("https://api.qogita.com/variants/link/8435138456412/", "View Product")</f>
        <v/>
      </c>
    </row>
    <row r="211">
      <c r="A211" t="inlineStr">
        <is>
          <t>8435138456443</t>
        </is>
      </c>
      <c r="B211" t="inlineStr">
        <is>
          <t>BIFULL TIPS XXL Stiletto 360 Units Transparent</t>
        </is>
      </c>
      <c r="C211" t="inlineStr">
        <is>
          <t>Nail Care</t>
        </is>
      </c>
      <c r="D211" t="inlineStr">
        <is>
          <t>Bifull</t>
        </is>
      </c>
      <c r="E211" t="n">
        <v>2.46</v>
      </c>
      <c r="F211" t="n">
        <v>1</v>
      </c>
      <c r="G211" t="n">
        <v>6</v>
      </c>
      <c r="H211" t="inlineStr">
        <is>
          <t>No</t>
        </is>
      </c>
      <c r="I211" t="inlineStr"/>
      <c r="J211" t="n">
        <v>1</v>
      </c>
      <c r="K211" t="n">
        <v>6</v>
      </c>
      <c r="L211" s="5">
        <f>HYPERLINK("https://api.qogita.com/variants/link/8435138456443/", "View Product")</f>
        <v/>
      </c>
    </row>
    <row r="212">
      <c r="A212" t="inlineStr">
        <is>
          <t>8435780401563</t>
        </is>
      </c>
      <c r="B212" t="inlineStr">
        <is>
          <t>Perfect Beauty Spin Nail Drill 360</t>
        </is>
      </c>
      <c r="C212" t="inlineStr">
        <is>
          <t>Nail Care</t>
        </is>
      </c>
      <c r="D212" t="inlineStr">
        <is>
          <t>Perfect Beauty</t>
        </is>
      </c>
      <c r="E212" t="n">
        <v>62.01</v>
      </c>
      <c r="F212" t="n">
        <v>1</v>
      </c>
      <c r="G212" t="n">
        <v>4</v>
      </c>
      <c r="H212" t="inlineStr">
        <is>
          <t>No</t>
        </is>
      </c>
      <c r="I212" t="inlineStr"/>
      <c r="J212" t="n">
        <v>1</v>
      </c>
      <c r="K212" t="n">
        <v>4</v>
      </c>
      <c r="L212" s="5">
        <f>HYPERLINK("https://api.qogita.com/variants/link/8435780401563/", "View Product")</f>
        <v/>
      </c>
    </row>
    <row r="213">
      <c r="A213" t="inlineStr">
        <is>
          <t>4823015905827</t>
        </is>
      </c>
      <c r="B213" t="inlineStr">
        <is>
          <t>Elfa Pharm Green Pharmacy Hand And Nail Cream Olive Oil And Goji Berries 100 Ml</t>
        </is>
      </c>
      <c r="C213" t="inlineStr">
        <is>
          <t>Nail Oil</t>
        </is>
      </c>
      <c r="D213" t="inlineStr">
        <is>
          <t>Elfa Pharm</t>
        </is>
      </c>
      <c r="E213" t="n">
        <v>0.76</v>
      </c>
      <c r="F213" t="n">
        <v>1</v>
      </c>
      <c r="G213" t="n">
        <v>16</v>
      </c>
      <c r="H213" t="inlineStr">
        <is>
          <t>No</t>
        </is>
      </c>
      <c r="I213" t="inlineStr"/>
      <c r="J213" t="n">
        <v>2</v>
      </c>
      <c r="K213" t="n">
        <v>19</v>
      </c>
      <c r="L213" s="5">
        <f>HYPERLINK("https://api.qogita.com/variants/link/4823015905827/", "View Product")</f>
        <v/>
      </c>
    </row>
    <row r="214">
      <c r="A214" t="inlineStr">
        <is>
          <t>5901761900729</t>
        </is>
      </c>
      <c r="B214" t="inlineStr">
        <is>
          <t>Eveline 8In1 Nail Regeneration Elixir with Argan 12ml</t>
        </is>
      </c>
      <c r="C214" t="inlineStr">
        <is>
          <t>Nail Oil</t>
        </is>
      </c>
      <c r="D214" t="inlineStr">
        <is>
          <t>Eveline</t>
        </is>
      </c>
      <c r="E214" t="n">
        <v>2.45</v>
      </c>
      <c r="F214" t="n">
        <v>1</v>
      </c>
      <c r="G214" t="n">
        <v>3</v>
      </c>
      <c r="H214" t="inlineStr">
        <is>
          <t>No</t>
        </is>
      </c>
      <c r="I214" t="inlineStr"/>
      <c r="J214" t="n">
        <v>1</v>
      </c>
      <c r="K214" t="n">
        <v>3</v>
      </c>
      <c r="L214" s="5">
        <f>HYPERLINK("https://api.qogita.com/variants/link/5901761900729/", "View Product")</f>
        <v/>
      </c>
    </row>
    <row r="215">
      <c r="A215" t="inlineStr">
        <is>
          <t>5906961246554</t>
        </is>
      </c>
      <c r="B215" t="inlineStr">
        <is>
          <t>La Rosa Cuticle Remover Gel with Sweet Almond and Lemon Essential Oil 10ml</t>
        </is>
      </c>
      <c r="C215" t="inlineStr">
        <is>
          <t>Cuticle Removers</t>
        </is>
      </c>
      <c r="D215" t="inlineStr">
        <is>
          <t>La Rosa</t>
        </is>
      </c>
      <c r="E215" t="n">
        <v>2.07</v>
      </c>
      <c r="F215" t="n">
        <v>1</v>
      </c>
      <c r="G215" t="n">
        <v>14</v>
      </c>
      <c r="H215" t="inlineStr">
        <is>
          <t>No</t>
        </is>
      </c>
      <c r="I215" t="inlineStr"/>
      <c r="J215" t="n">
        <v>1</v>
      </c>
      <c r="K215" t="n">
        <v>14</v>
      </c>
      <c r="L215" s="5">
        <f>HYPERLINK("https://api.qogita.com/variants/link/5906961246554/", "View Product")</f>
        <v/>
      </c>
    </row>
    <row r="216">
      <c r="A216" t="inlineStr">
        <is>
          <t>5907609333506</t>
        </is>
      </c>
      <c r="B216" t="inlineStr">
        <is>
          <t>Professional Cuticle Remover Cream-Gel - Quick &amp; Effective Care for Dry, Overgrown Cuticles with Avocado Oil</t>
        </is>
      </c>
      <c r="C216" t="inlineStr">
        <is>
          <t>Cuticle Removers</t>
        </is>
      </c>
      <c r="D216" t="inlineStr">
        <is>
          <t>Eveline Cosmetics</t>
        </is>
      </c>
      <c r="E216" t="n">
        <v>1.99</v>
      </c>
      <c r="F216" t="n">
        <v>1</v>
      </c>
      <c r="G216" t="n">
        <v>4</v>
      </c>
      <c r="H216" t="inlineStr">
        <is>
          <t>No</t>
        </is>
      </c>
      <c r="I216" t="inlineStr"/>
      <c r="J216" t="n">
        <v>3</v>
      </c>
      <c r="K216" t="n">
        <v>105</v>
      </c>
      <c r="L216" s="5">
        <f>HYPERLINK("https://api.qogita.com/variants/link/5907609333506/", "View Product")</f>
        <v/>
      </c>
    </row>
    <row r="217">
      <c r="A217" t="inlineStr">
        <is>
          <t>0773602230006</t>
        </is>
      </c>
      <c r="B217" t="inlineStr">
        <is>
          <t>Mac Manicure File - Essential Nail Care Tool</t>
        </is>
      </c>
      <c r="C217" t="inlineStr">
        <is>
          <t>Nail Clippers &amp; Tools</t>
        </is>
      </c>
      <c r="D217" t="inlineStr">
        <is>
          <t>Mac</t>
        </is>
      </c>
      <c r="E217" t="n">
        <v>2.84</v>
      </c>
      <c r="F217" t="n">
        <v>1</v>
      </c>
      <c r="G217" t="n">
        <v>1</v>
      </c>
      <c r="H217" t="inlineStr">
        <is>
          <t>No</t>
        </is>
      </c>
      <c r="I217" t="inlineStr"/>
      <c r="J217" t="n">
        <v>1</v>
      </c>
      <c r="K217" t="n">
        <v>1</v>
      </c>
      <c r="L217" s="5">
        <f>HYPERLINK("https://api.qogita.com/variants/link/0773602230006/", "View Product")</f>
        <v/>
      </c>
    </row>
    <row r="218">
      <c r="A218" t="inlineStr">
        <is>
          <t>3348901672801</t>
        </is>
      </c>
      <c r="B218" t="inlineStr">
        <is>
          <t>Dior Nail Glow Sublimating Treatment 10ml</t>
        </is>
      </c>
      <c r="C218" t="inlineStr">
        <is>
          <t>Nail Oil</t>
        </is>
      </c>
      <c r="D218" t="inlineStr">
        <is>
          <t>Dior</t>
        </is>
      </c>
      <c r="E218" t="n">
        <v>16.63</v>
      </c>
      <c r="F218" t="n">
        <v>1</v>
      </c>
      <c r="G218" t="n">
        <v>1</v>
      </c>
      <c r="H218" t="inlineStr">
        <is>
          <t>No</t>
        </is>
      </c>
      <c r="I218" t="inlineStr"/>
      <c r="J218" t="n">
        <v>1</v>
      </c>
      <c r="K218" t="n">
        <v>1</v>
      </c>
      <c r="L218" s="5">
        <f>HYPERLINK("https://api.qogita.com/variants/link/3348901672801/", "View Product")</f>
        <v/>
      </c>
    </row>
    <row r="219">
      <c r="A219" t="inlineStr">
        <is>
          <t>8054800095287</t>
        </is>
      </c>
      <c r="B219" t="inlineStr">
        <is>
          <t>Biotherm Biomains Anti-Dessicant Fortifying Nails Duo Kit</t>
        </is>
      </c>
      <c r="C219" t="inlineStr">
        <is>
          <t>Nail Care Sets</t>
        </is>
      </c>
      <c r="D219" t="inlineStr">
        <is>
          <t>Biotherm</t>
        </is>
      </c>
      <c r="E219" t="n">
        <v>5.11</v>
      </c>
      <c r="F219" t="n">
        <v>1</v>
      </c>
      <c r="G219" t="n">
        <v>7</v>
      </c>
      <c r="H219" t="inlineStr">
        <is>
          <t>No</t>
        </is>
      </c>
      <c r="I219" t="inlineStr"/>
      <c r="J219" t="n">
        <v>1</v>
      </c>
      <c r="K219" t="n">
        <v>7</v>
      </c>
      <c r="L219" s="5">
        <f>HYPERLINK("https://api.qogita.com/variants/link/8054800095287/", "View Product")</f>
        <v/>
      </c>
    </row>
    <row r="220">
      <c r="A220" t="inlineStr">
        <is>
          <t>7618900917019</t>
        </is>
      </c>
      <c r="B220" t="inlineStr">
        <is>
          <t>Mavala Mavapen Nourishing Oil for Cuticles 4.5ml</t>
        </is>
      </c>
      <c r="C220" t="inlineStr">
        <is>
          <t>Nail Oil</t>
        </is>
      </c>
      <c r="D220" t="inlineStr">
        <is>
          <t>Mavala</t>
        </is>
      </c>
      <c r="E220" t="n">
        <v>7.09</v>
      </c>
      <c r="F220" t="n">
        <v>1</v>
      </c>
      <c r="G220" t="n">
        <v>1</v>
      </c>
      <c r="H220" t="inlineStr">
        <is>
          <t>No</t>
        </is>
      </c>
      <c r="I220" t="inlineStr"/>
      <c r="J220" t="n">
        <v>2</v>
      </c>
      <c r="K220" t="n">
        <v>2</v>
      </c>
      <c r="L220" s="5">
        <f>HYPERLINK("https://api.qogita.com/variants/link/7618900917019/", "View Product")</f>
        <v/>
      </c>
    </row>
    <row r="221">
      <c r="A221" t="inlineStr">
        <is>
          <t>8058774306424</t>
        </is>
      </c>
      <c r="B221" t="inlineStr">
        <is>
          <t>Helan Sweetness Line Strengthening Nail and Cuticle Oil 10ml</t>
        </is>
      </c>
      <c r="C221" t="inlineStr">
        <is>
          <t>Nail Oil</t>
        </is>
      </c>
      <c r="D221" t="inlineStr">
        <is>
          <t>Helan</t>
        </is>
      </c>
      <c r="E221" t="n">
        <v>2.68</v>
      </c>
      <c r="F221" t="n">
        <v>1</v>
      </c>
      <c r="G221" t="n">
        <v>2</v>
      </c>
      <c r="H221" t="inlineStr">
        <is>
          <t>No</t>
        </is>
      </c>
      <c r="I221" t="inlineStr"/>
      <c r="J221" t="n">
        <v>1</v>
      </c>
      <c r="K221" t="n">
        <v>2</v>
      </c>
      <c r="L221" s="5">
        <f>HYPERLINK("https://api.qogita.com/variants/link/8058774306424/", "View Product")</f>
        <v/>
      </c>
    </row>
    <row r="222">
      <c r="A222" t="inlineStr">
        <is>
          <t>0017854121355</t>
        </is>
      </c>
      <c r="B222" t="inlineStr">
        <is>
          <t>Baylis &amp; Harding Royale Garden Luxury Manicure Gift Set</t>
        </is>
      </c>
      <c r="C222" t="inlineStr">
        <is>
          <t>Manicure Sets</t>
        </is>
      </c>
      <c r="D222" t="inlineStr">
        <is>
          <t>Baylis &amp; Harding</t>
        </is>
      </c>
      <c r="E222" t="n">
        <v>5.06</v>
      </c>
      <c r="F222" t="n">
        <v>1</v>
      </c>
      <c r="G222" t="n">
        <v>5</v>
      </c>
      <c r="H222" t="inlineStr">
        <is>
          <t>No</t>
        </is>
      </c>
      <c r="I222" t="inlineStr"/>
      <c r="J222" t="n">
        <v>1</v>
      </c>
      <c r="K222" t="n">
        <v>5</v>
      </c>
      <c r="L222" s="5">
        <f>HYPERLINK("https://api.qogita.com/variants/link/0017854121355/", "View Product")</f>
        <v/>
      </c>
    </row>
    <row r="223">
      <c r="A223" t="inlineStr">
        <is>
          <t>0017854125179</t>
        </is>
      </c>
      <c r="B223" t="inlineStr">
        <is>
          <t>Baylis &amp; Harding Royale Garden Luxury Manicure Gift Set</t>
        </is>
      </c>
      <c r="C223" t="inlineStr">
        <is>
          <t>Manicure Sets</t>
        </is>
      </c>
      <c r="D223" t="inlineStr">
        <is>
          <t>Baylis &amp; Harding</t>
        </is>
      </c>
      <c r="E223" t="n">
        <v>6.07</v>
      </c>
      <c r="F223" t="n">
        <v>1</v>
      </c>
      <c r="G223" t="n">
        <v>219</v>
      </c>
      <c r="H223" t="inlineStr">
        <is>
          <t>No</t>
        </is>
      </c>
      <c r="I223" t="inlineStr"/>
      <c r="J223" t="n">
        <v>1</v>
      </c>
      <c r="K223" t="n">
        <v>219</v>
      </c>
      <c r="L223" s="5">
        <f>HYPERLINK("https://api.qogita.com/variants/link/0017854125179/", "View Product")</f>
        <v/>
      </c>
    </row>
    <row r="224">
      <c r="A224" t="inlineStr">
        <is>
          <t>0639136518587</t>
        </is>
      </c>
      <c r="B224" t="inlineStr">
        <is>
          <t>Somerset Toiletry Nail Care Set Neroli &amp; Petitgrain 4 Pieces</t>
        </is>
      </c>
      <c r="C224" t="inlineStr">
        <is>
          <t>Nail Care Sets</t>
        </is>
      </c>
      <c r="D224" t="inlineStr">
        <is>
          <t>Somerset Toiletry</t>
        </is>
      </c>
      <c r="E224" t="n">
        <v>5.33</v>
      </c>
      <c r="F224" t="n">
        <v>1</v>
      </c>
      <c r="G224" t="n">
        <v>22</v>
      </c>
      <c r="H224" t="inlineStr">
        <is>
          <t>No</t>
        </is>
      </c>
      <c r="I224" t="inlineStr"/>
      <c r="J224" t="n">
        <v>1</v>
      </c>
      <c r="K224" t="n">
        <v>22</v>
      </c>
      <c r="L224" s="5">
        <f>HYPERLINK("https://api.qogita.com/variants/link/0639136518587/", "View Product")</f>
        <v/>
      </c>
    </row>
    <row r="225">
      <c r="A225" t="inlineStr">
        <is>
          <t>5015632122582</t>
        </is>
      </c>
      <c r="B225" t="inlineStr">
        <is>
          <t>Heathcote &amp; Ivory Wild Flowers Manicure Set in Tin - 4 Pieces</t>
        </is>
      </c>
      <c r="C225" t="inlineStr">
        <is>
          <t>Manicure Sets</t>
        </is>
      </c>
      <c r="D225" t="inlineStr">
        <is>
          <t>Heathcote &amp; Ivory</t>
        </is>
      </c>
      <c r="E225" t="n">
        <v>10.19</v>
      </c>
      <c r="F225" t="n">
        <v>1</v>
      </c>
      <c r="G225" t="n">
        <v>33</v>
      </c>
      <c r="H225" t="inlineStr">
        <is>
          <t>No</t>
        </is>
      </c>
      <c r="I225" t="inlineStr"/>
      <c r="J225" t="n">
        <v>1</v>
      </c>
      <c r="K225" t="n">
        <v>33</v>
      </c>
      <c r="L225" s="5">
        <f>HYPERLINK("https://api.qogita.com/variants/link/5015632122582/", "View Product")</f>
        <v/>
      </c>
    </row>
    <row r="226">
      <c r="A226" t="inlineStr">
        <is>
          <t>5015632132598</t>
        </is>
      </c>
      <c r="B226" t="inlineStr">
        <is>
          <t>Heathcote &amp; Ivory Manicure Set In Tin Woven Flowers 4 Pieces</t>
        </is>
      </c>
      <c r="C226" t="inlineStr">
        <is>
          <t>Manicure Sets</t>
        </is>
      </c>
      <c r="D226" t="inlineStr">
        <is>
          <t>Heathcote &amp; Ivory</t>
        </is>
      </c>
      <c r="E226" t="n">
        <v>9.67</v>
      </c>
      <c r="F226" t="n">
        <v>1</v>
      </c>
      <c r="G226" t="n">
        <v>72</v>
      </c>
      <c r="H226" t="inlineStr">
        <is>
          <t>No</t>
        </is>
      </c>
      <c r="I226" t="inlineStr"/>
      <c r="J226" t="n">
        <v>1</v>
      </c>
      <c r="K226" t="n">
        <v>72</v>
      </c>
      <c r="L226" s="5">
        <f>HYPERLINK("https://api.qogita.com/variants/link/5015632132598/", "View Product")</f>
        <v/>
      </c>
    </row>
    <row r="227">
      <c r="A227" t="inlineStr">
        <is>
          <t>5903018900360</t>
        </is>
      </c>
      <c r="B227" t="inlineStr">
        <is>
          <t>T4B MIMO Glass Nail File in Plastic Case</t>
        </is>
      </c>
      <c r="C227" t="inlineStr">
        <is>
          <t>Manicure Sets</t>
        </is>
      </c>
      <c r="D227" t="inlineStr">
        <is>
          <t>Tb Tools For Beauty</t>
        </is>
      </c>
      <c r="E227" t="n">
        <v>0.45</v>
      </c>
      <c r="F227" t="n">
        <v>1</v>
      </c>
      <c r="G227" t="n">
        <v>4691</v>
      </c>
      <c r="H227" t="inlineStr">
        <is>
          <t>No</t>
        </is>
      </c>
      <c r="I227" t="inlineStr"/>
      <c r="J227" t="n">
        <v>1</v>
      </c>
      <c r="K227" t="n">
        <v>4691</v>
      </c>
      <c r="L227" s="5">
        <f>HYPERLINK("https://api.qogita.com/variants/link/5903018900360/", "View Product")</f>
        <v/>
      </c>
    </row>
    <row r="228">
      <c r="A228" t="inlineStr">
        <is>
          <t>5903018900377</t>
        </is>
      </c>
      <c r="B228" t="inlineStr">
        <is>
          <t>T4B MIMO Glass Nail File with Neon Pattern</t>
        </is>
      </c>
      <c r="C228" t="inlineStr">
        <is>
          <t>Manicure Sets</t>
        </is>
      </c>
      <c r="D228" t="inlineStr">
        <is>
          <t>Tb Tools For Beauty</t>
        </is>
      </c>
      <c r="E228" t="n">
        <v>0.24</v>
      </c>
      <c r="F228" t="n">
        <v>1</v>
      </c>
      <c r="G228" t="n">
        <v>13458</v>
      </c>
      <c r="H228" t="inlineStr">
        <is>
          <t>No</t>
        </is>
      </c>
      <c r="I228" t="inlineStr"/>
      <c r="J228" t="n">
        <v>1</v>
      </c>
      <c r="K228" t="n">
        <v>13458</v>
      </c>
      <c r="L228" s="5">
        <f>HYPERLINK("https://api.qogita.com/variants/link/5903018900377/", "View Product")</f>
        <v/>
      </c>
    </row>
    <row r="229">
      <c r="A229" t="inlineStr">
        <is>
          <t>5903018900384</t>
        </is>
      </c>
      <c r="B229" t="inlineStr">
        <is>
          <t>T4B MIMO 4-Sided Manicure Pedicure Tool Nail Buffer Block in Pink - 10 Piece</t>
        </is>
      </c>
      <c r="C229" t="inlineStr">
        <is>
          <t>Nail Clippers &amp; Tools</t>
        </is>
      </c>
      <c r="D229" t="inlineStr">
        <is>
          <t>T4B</t>
        </is>
      </c>
      <c r="E229" t="n">
        <v>1.98</v>
      </c>
      <c r="F229" t="n">
        <v>1</v>
      </c>
      <c r="G229" t="n">
        <v>9254</v>
      </c>
      <c r="H229" t="inlineStr">
        <is>
          <t>No</t>
        </is>
      </c>
      <c r="I229" t="inlineStr"/>
      <c r="J229" t="n">
        <v>1</v>
      </c>
      <c r="K229" t="n">
        <v>9254</v>
      </c>
      <c r="L229" s="5">
        <f>HYPERLINK("https://api.qogita.com/variants/link/5903018900384/", "View Product")</f>
        <v/>
      </c>
    </row>
    <row r="230">
      <c r="A230" t="inlineStr">
        <is>
          <t>5903018900407</t>
        </is>
      </c>
      <c r="B230" t="inlineStr">
        <is>
          <t>T4B MIMO White Paper Nail File 100/180</t>
        </is>
      </c>
      <c r="C230" t="inlineStr">
        <is>
          <t>Nail Care</t>
        </is>
      </c>
      <c r="D230" t="inlineStr">
        <is>
          <t>Tb Tools For Beauty</t>
        </is>
      </c>
      <c r="E230" t="n">
        <v>0.12</v>
      </c>
      <c r="F230" t="n">
        <v>1</v>
      </c>
      <c r="G230" t="n">
        <v>16059</v>
      </c>
      <c r="H230" t="inlineStr">
        <is>
          <t>No</t>
        </is>
      </c>
      <c r="I230" t="inlineStr"/>
      <c r="J230" t="n">
        <v>1</v>
      </c>
      <c r="K230" t="n">
        <v>16059</v>
      </c>
      <c r="L230" s="5">
        <f>HYPERLINK("https://api.qogita.com/variants/link/5903018900407/", "View Product")</f>
        <v/>
      </c>
    </row>
    <row r="231">
      <c r="A231" t="inlineStr">
        <is>
          <t>5903018900414</t>
        </is>
      </c>
      <c r="B231" t="inlineStr">
        <is>
          <t>T4B MIMO Pigskin Paper Nail File</t>
        </is>
      </c>
      <c r="C231" t="inlineStr">
        <is>
          <t>Nail Care</t>
        </is>
      </c>
      <c r="D231" t="inlineStr">
        <is>
          <t>Tb Tools For Beauty</t>
        </is>
      </c>
      <c r="E231" t="n">
        <v>0.12</v>
      </c>
      <c r="F231" t="n">
        <v>1</v>
      </c>
      <c r="G231" t="n">
        <v>26744</v>
      </c>
      <c r="H231" t="inlineStr">
        <is>
          <t>No</t>
        </is>
      </c>
      <c r="I231" t="inlineStr"/>
      <c r="J231" t="n">
        <v>1</v>
      </c>
      <c r="K231" t="n">
        <v>26744</v>
      </c>
      <c r="L231" s="5">
        <f>HYPERLINK("https://api.qogita.com/variants/link/5903018900414/", "View Product")</f>
        <v/>
      </c>
    </row>
    <row r="232">
      <c r="A232" t="inlineStr">
        <is>
          <t>5903018900421</t>
        </is>
      </c>
      <c r="B232" t="inlineStr">
        <is>
          <t>T4B MIMO Black Straight Paper Nail File 150/180</t>
        </is>
      </c>
      <c r="C232" t="inlineStr">
        <is>
          <t>Nail Care</t>
        </is>
      </c>
      <c r="D232" t="inlineStr">
        <is>
          <t>Tb Tools For Beauty</t>
        </is>
      </c>
      <c r="E232" t="n">
        <v>0.12</v>
      </c>
      <c r="F232" t="n">
        <v>1</v>
      </c>
      <c r="G232" t="n">
        <v>23205</v>
      </c>
      <c r="H232" t="inlineStr">
        <is>
          <t>No</t>
        </is>
      </c>
      <c r="I232" t="inlineStr"/>
      <c r="J232" t="n">
        <v>1</v>
      </c>
      <c r="K232" t="n">
        <v>23205</v>
      </c>
      <c r="L232" s="5">
        <f>HYPERLINK("https://api.qogita.com/variants/link/5903018900421/", "View Product")</f>
        <v/>
      </c>
    </row>
    <row r="233">
      <c r="A233" t="inlineStr">
        <is>
          <t>5903018900476</t>
        </is>
      </c>
      <c r="B233" t="inlineStr">
        <is>
          <t>T4B MIMO Double-Sided Nail File 100/180 - Purple</t>
        </is>
      </c>
      <c r="C233" t="inlineStr">
        <is>
          <t>Nail Clippers &amp; Tools</t>
        </is>
      </c>
      <c r="D233" t="inlineStr">
        <is>
          <t>Tools For Beauty</t>
        </is>
      </c>
      <c r="E233" t="n">
        <v>0.33</v>
      </c>
      <c r="F233" t="n">
        <v>1</v>
      </c>
      <c r="G233" t="n">
        <v>3144</v>
      </c>
      <c r="H233" t="inlineStr">
        <is>
          <t>No</t>
        </is>
      </c>
      <c r="I233" t="inlineStr"/>
      <c r="J233" t="n">
        <v>1</v>
      </c>
      <c r="K233" t="n">
        <v>3144</v>
      </c>
      <c r="L233" s="5">
        <f>HYPERLINK("https://api.qogita.com/variants/link/5903018900476/", "View Product")</f>
        <v/>
      </c>
    </row>
    <row r="234">
      <c r="A234" t="inlineStr">
        <is>
          <t>5903018900490</t>
        </is>
      </c>
      <c r="B234" t="inlineStr">
        <is>
          <t>T4B MIMO Two-Sided Nail File 100/180 - Pink</t>
        </is>
      </c>
      <c r="C234" t="inlineStr">
        <is>
          <t>Nail Care</t>
        </is>
      </c>
      <c r="D234" t="inlineStr">
        <is>
          <t>Tb Tools For Beauty</t>
        </is>
      </c>
      <c r="E234" t="n">
        <v>0.33</v>
      </c>
      <c r="F234" t="n">
        <v>1</v>
      </c>
      <c r="G234" t="n">
        <v>5835</v>
      </c>
      <c r="H234" t="inlineStr">
        <is>
          <t>No</t>
        </is>
      </c>
      <c r="I234" t="inlineStr"/>
      <c r="J234" t="n">
        <v>1</v>
      </c>
      <c r="K234" t="n">
        <v>5835</v>
      </c>
      <c r="L234" s="5">
        <f>HYPERLINK("https://api.qogita.com/variants/link/5903018900490/", "View Product")</f>
        <v/>
      </c>
    </row>
    <row r="235">
      <c r="A235" t="inlineStr">
        <is>
          <t>5903018900506</t>
        </is>
      </c>
      <c r="B235" t="inlineStr">
        <is>
          <t>T4B MIMO 2-Sided Trapezoidal Nail Buffer Orange 100/180</t>
        </is>
      </c>
      <c r="C235" t="inlineStr">
        <is>
          <t>Nail Clippers &amp; Tools</t>
        </is>
      </c>
      <c r="D235" t="inlineStr">
        <is>
          <t>Tb Tools For Beauty</t>
        </is>
      </c>
      <c r="E235" t="n">
        <v>0.31</v>
      </c>
      <c r="F235" t="n">
        <v>1</v>
      </c>
      <c r="G235" t="n">
        <v>3182</v>
      </c>
      <c r="H235" t="inlineStr">
        <is>
          <t>No</t>
        </is>
      </c>
      <c r="I235" t="inlineStr"/>
      <c r="J235" t="n">
        <v>1</v>
      </c>
      <c r="K235" t="n">
        <v>3182</v>
      </c>
      <c r="L235" s="5">
        <f>HYPERLINK("https://api.qogita.com/variants/link/5903018900506/", "View Product")</f>
        <v/>
      </c>
    </row>
    <row r="236">
      <c r="A236" t="inlineStr">
        <is>
          <t>5903018900513</t>
        </is>
      </c>
      <c r="B236" t="inlineStr">
        <is>
          <t>T4B MIMO 2-Sided Trapezoidal Nail File 100/180 Violet</t>
        </is>
      </c>
      <c r="C236" t="inlineStr">
        <is>
          <t>Nail Care</t>
        </is>
      </c>
      <c r="D236" t="inlineStr">
        <is>
          <t>Tb Tools For Beauty</t>
        </is>
      </c>
      <c r="E236" t="n">
        <v>0.33</v>
      </c>
      <c r="F236" t="n">
        <v>1</v>
      </c>
      <c r="G236" t="n">
        <v>8169</v>
      </c>
      <c r="H236" t="inlineStr">
        <is>
          <t>No</t>
        </is>
      </c>
      <c r="I236" t="inlineStr"/>
      <c r="J236" t="n">
        <v>1</v>
      </c>
      <c r="K236" t="n">
        <v>8169</v>
      </c>
      <c r="L236" s="5">
        <f>HYPERLINK("https://api.qogita.com/variants/link/5903018900513/", "View Product")</f>
        <v/>
      </c>
    </row>
    <row r="237">
      <c r="A237" t="inlineStr">
        <is>
          <t>5903018900520</t>
        </is>
      </c>
      <c r="B237" t="inlineStr">
        <is>
          <t>T4B MIMO 2-Sided Trapezoidal Nail File 100/180 Pink</t>
        </is>
      </c>
      <c r="C237" t="inlineStr">
        <is>
          <t>Nail Clippers &amp; Tools</t>
        </is>
      </c>
      <c r="D237" t="inlineStr">
        <is>
          <t>Tb Tools For Beauty</t>
        </is>
      </c>
      <c r="E237" t="n">
        <v>0.31</v>
      </c>
      <c r="F237" t="n">
        <v>1</v>
      </c>
      <c r="G237" t="n">
        <v>6444</v>
      </c>
      <c r="H237" t="inlineStr">
        <is>
          <t>No</t>
        </is>
      </c>
      <c r="I237" t="inlineStr"/>
      <c r="J237" t="n">
        <v>1</v>
      </c>
      <c r="K237" t="n">
        <v>6444</v>
      </c>
      <c r="L237" s="5">
        <f>HYPERLINK("https://api.qogita.com/variants/link/5903018900520/", "View Product")</f>
        <v/>
      </c>
    </row>
    <row r="238">
      <c r="A238" t="inlineStr">
        <is>
          <t>5903018900537</t>
        </is>
      </c>
      <c r="B238" t="inlineStr">
        <is>
          <t>T4B MIMO Double-Sided Boat Shaped Nail File 100/180 - Violet</t>
        </is>
      </c>
      <c r="C238" t="inlineStr">
        <is>
          <t>Nail Care</t>
        </is>
      </c>
      <c r="D238" t="inlineStr">
        <is>
          <t>T4B</t>
        </is>
      </c>
      <c r="E238" t="n">
        <v>0.33</v>
      </c>
      <c r="F238" t="n">
        <v>1</v>
      </c>
      <c r="G238" t="n">
        <v>15419</v>
      </c>
      <c r="H238" t="inlineStr">
        <is>
          <t>No</t>
        </is>
      </c>
      <c r="I238" t="inlineStr"/>
      <c r="J238" t="n">
        <v>1</v>
      </c>
      <c r="K238" t="n">
        <v>15419</v>
      </c>
      <c r="L238" s="5">
        <f>HYPERLINK("https://api.qogita.com/variants/link/5903018900537/", "View Product")</f>
        <v/>
      </c>
    </row>
    <row r="239">
      <c r="A239" t="inlineStr">
        <is>
          <t>5903018900544</t>
        </is>
      </c>
      <c r="B239" t="inlineStr">
        <is>
          <t>T4B MIMO Double Sided Bridge Manicure Pedicure Nail Buffer 100/180 - Orange</t>
        </is>
      </c>
      <c r="C239" t="inlineStr">
        <is>
          <t>Nail Care</t>
        </is>
      </c>
      <c r="D239" t="inlineStr">
        <is>
          <t>Tb Tools For Beauty</t>
        </is>
      </c>
      <c r="E239" t="n">
        <v>0.31</v>
      </c>
      <c r="F239" t="n">
        <v>1</v>
      </c>
      <c r="G239" t="n">
        <v>8937</v>
      </c>
      <c r="H239" t="inlineStr">
        <is>
          <t>No</t>
        </is>
      </c>
      <c r="I239" t="inlineStr"/>
      <c r="J239" t="n">
        <v>1</v>
      </c>
      <c r="K239" t="n">
        <v>8937</v>
      </c>
      <c r="L239" s="5">
        <f>HYPERLINK("https://api.qogita.com/variants/link/5903018900544/", "View Product")</f>
        <v/>
      </c>
    </row>
    <row r="240">
      <c r="A240" t="inlineStr">
        <is>
          <t>5903018900551</t>
        </is>
      </c>
      <c r="B240" t="inlineStr">
        <is>
          <t>T4B MIMO Double-Sided Boat-Shaped Nail Buffer 100/180 - Pink</t>
        </is>
      </c>
      <c r="C240" t="inlineStr">
        <is>
          <t>Nail Care</t>
        </is>
      </c>
      <c r="D240" t="inlineStr">
        <is>
          <t>T4B</t>
        </is>
      </c>
      <c r="E240" t="n">
        <v>0.33</v>
      </c>
      <c r="F240" t="n">
        <v>1</v>
      </c>
      <c r="G240" t="n">
        <v>14688</v>
      </c>
      <c r="H240" t="inlineStr">
        <is>
          <t>No</t>
        </is>
      </c>
      <c r="I240" t="inlineStr"/>
      <c r="J240" t="n">
        <v>1</v>
      </c>
      <c r="K240" t="n">
        <v>14688</v>
      </c>
      <c r="L240" s="5">
        <f>HYPERLINK("https://api.qogita.com/variants/link/5903018900551/", "View Product")</f>
        <v/>
      </c>
    </row>
    <row r="241">
      <c r="A241" t="inlineStr">
        <is>
          <t>5903018900599</t>
        </is>
      </c>
      <c r="B241" t="inlineStr">
        <is>
          <t>T4B MIMO Boat-Shaped Zebra Nail File with 100/180 Grit</t>
        </is>
      </c>
      <c r="C241" t="inlineStr">
        <is>
          <t>Nail Care</t>
        </is>
      </c>
      <c r="D241" t="inlineStr">
        <is>
          <t>Tb Tools For Beauty</t>
        </is>
      </c>
      <c r="E241" t="n">
        <v>0.17</v>
      </c>
      <c r="F241" t="n">
        <v>1</v>
      </c>
      <c r="G241" t="n">
        <v>11355</v>
      </c>
      <c r="H241" t="inlineStr">
        <is>
          <t>No</t>
        </is>
      </c>
      <c r="I241" t="inlineStr"/>
      <c r="J241" t="n">
        <v>1</v>
      </c>
      <c r="K241" t="n">
        <v>11355</v>
      </c>
      <c r="L241" s="5">
        <f>HYPERLINK("https://api.qogita.com/variants/link/5903018900599/", "View Product")</f>
        <v/>
      </c>
    </row>
    <row r="242">
      <c r="A242" t="inlineStr">
        <is>
          <t>5903018900605</t>
        </is>
      </c>
      <c r="B242" t="inlineStr">
        <is>
          <t>T4B MIMO Boat-Shaped Zebra Nail File with 150/150 Grit</t>
        </is>
      </c>
      <c r="C242" t="inlineStr">
        <is>
          <t>Nail Care</t>
        </is>
      </c>
      <c r="D242" t="inlineStr">
        <is>
          <t>Tb Tools For Beauty</t>
        </is>
      </c>
      <c r="E242" t="n">
        <v>0.22</v>
      </c>
      <c r="F242" t="n">
        <v>1</v>
      </c>
      <c r="G242" t="n">
        <v>9069</v>
      </c>
      <c r="H242" t="inlineStr">
        <is>
          <t>No</t>
        </is>
      </c>
      <c r="I242" t="inlineStr"/>
      <c r="J242" t="n">
        <v>1</v>
      </c>
      <c r="K242" t="n">
        <v>9069</v>
      </c>
      <c r="L242" s="5">
        <f>HYPERLINK("https://api.qogita.com/variants/link/5903018900605/", "View Product")</f>
        <v/>
      </c>
    </row>
    <row r="243">
      <c r="A243" t="inlineStr">
        <is>
          <t>5903018900612</t>
        </is>
      </c>
      <c r="B243" t="inlineStr">
        <is>
          <t>T4B MIMO Trapezoidal Zebra Nail File with 100/180 Grit</t>
        </is>
      </c>
      <c r="C243" t="inlineStr">
        <is>
          <t>Nail Clippers &amp; Tools</t>
        </is>
      </c>
      <c r="D243" t="inlineStr">
        <is>
          <t>Tb Tools For Beauty</t>
        </is>
      </c>
      <c r="E243" t="n">
        <v>0.18</v>
      </c>
      <c r="F243" t="n">
        <v>1</v>
      </c>
      <c r="G243" t="n">
        <v>8933</v>
      </c>
      <c r="H243" t="inlineStr">
        <is>
          <t>No</t>
        </is>
      </c>
      <c r="I243" t="inlineStr"/>
      <c r="J243" t="n">
        <v>1</v>
      </c>
      <c r="K243" t="n">
        <v>8933</v>
      </c>
      <c r="L243" s="5">
        <f>HYPERLINK("https://api.qogita.com/variants/link/5903018900612/", "View Product")</f>
        <v/>
      </c>
    </row>
    <row r="244">
      <c r="A244" t="inlineStr">
        <is>
          <t>5903018900629</t>
        </is>
      </c>
      <c r="B244" t="inlineStr">
        <is>
          <t>T4B MIMO Banana Shaped Zebra Nail File with 100/180 Grit</t>
        </is>
      </c>
      <c r="C244" t="inlineStr">
        <is>
          <t>Nail Care</t>
        </is>
      </c>
      <c r="D244" t="inlineStr">
        <is>
          <t>Tb Tools For Beauty</t>
        </is>
      </c>
      <c r="E244" t="n">
        <v>0.18</v>
      </c>
      <c r="F244" t="n">
        <v>1</v>
      </c>
      <c r="G244" t="n">
        <v>8522</v>
      </c>
      <c r="H244" t="inlineStr">
        <is>
          <t>No</t>
        </is>
      </c>
      <c r="I244" t="inlineStr"/>
      <c r="J244" t="n">
        <v>1</v>
      </c>
      <c r="K244" t="n">
        <v>8522</v>
      </c>
      <c r="L244" s="5">
        <f>HYPERLINK("https://api.qogita.com/variants/link/5903018900629/", "View Product")</f>
        <v/>
      </c>
    </row>
    <row r="245">
      <c r="A245" t="inlineStr">
        <is>
          <t>5903018900636</t>
        </is>
      </c>
      <c r="B245" t="inlineStr">
        <is>
          <t>T4B MIMO Banana Shaped Zebra Nail File with 150/180 Grit</t>
        </is>
      </c>
      <c r="C245" t="inlineStr">
        <is>
          <t>Nail Care</t>
        </is>
      </c>
      <c r="D245" t="inlineStr">
        <is>
          <t>Tb Tools For Beauty</t>
        </is>
      </c>
      <c r="E245" t="n">
        <v>0.17</v>
      </c>
      <c r="F245" t="n">
        <v>1</v>
      </c>
      <c r="G245" t="n">
        <v>9651</v>
      </c>
      <c r="H245" t="inlineStr">
        <is>
          <t>No</t>
        </is>
      </c>
      <c r="I245" t="inlineStr"/>
      <c r="J245" t="n">
        <v>1</v>
      </c>
      <c r="K245" t="n">
        <v>9651</v>
      </c>
      <c r="L245" s="5">
        <f>HYPERLINK("https://api.qogita.com/variants/link/5903018900636/", "View Product")</f>
        <v/>
      </c>
    </row>
    <row r="246">
      <c r="A246" t="inlineStr">
        <is>
          <t>5903018900643</t>
        </is>
      </c>
      <c r="B246" t="inlineStr">
        <is>
          <t>T4B MIMO Banana Shaped Nail File in Zebra Color with 180/240 Grit</t>
        </is>
      </c>
      <c r="C246" t="inlineStr">
        <is>
          <t>Nail Care</t>
        </is>
      </c>
      <c r="D246" t="inlineStr">
        <is>
          <t>Tb Tools For Beauty</t>
        </is>
      </c>
      <c r="E246" t="n">
        <v>0.18</v>
      </c>
      <c r="F246" t="n">
        <v>1</v>
      </c>
      <c r="G246" t="n">
        <v>14955</v>
      </c>
      <c r="H246" t="inlineStr">
        <is>
          <t>No</t>
        </is>
      </c>
      <c r="I246" t="inlineStr"/>
      <c r="J246" t="n">
        <v>1</v>
      </c>
      <c r="K246" t="n">
        <v>14955</v>
      </c>
      <c r="L246" s="5">
        <f>HYPERLINK("https://api.qogita.com/variants/link/5903018900643/", "View Product")</f>
        <v/>
      </c>
    </row>
    <row r="247">
      <c r="A247" t="inlineStr">
        <is>
          <t>5903018900650</t>
        </is>
      </c>
      <c r="B247" t="inlineStr">
        <is>
          <t>T4B MIMO White Banana Shaped Nail File with 100/180 Grit</t>
        </is>
      </c>
      <c r="C247" t="inlineStr">
        <is>
          <t>Nail Care</t>
        </is>
      </c>
      <c r="D247" t="inlineStr">
        <is>
          <t>Tb Tools For Beauty</t>
        </is>
      </c>
      <c r="E247" t="n">
        <v>0.18</v>
      </c>
      <c r="F247" t="n">
        <v>1</v>
      </c>
      <c r="G247" t="n">
        <v>35561</v>
      </c>
      <c r="H247" t="inlineStr">
        <is>
          <t>No</t>
        </is>
      </c>
      <c r="I247" t="inlineStr"/>
      <c r="J247" t="n">
        <v>1</v>
      </c>
      <c r="K247" t="n">
        <v>35561</v>
      </c>
      <c r="L247" s="5">
        <f>HYPERLINK("https://api.qogita.com/variants/link/5903018900650/", "View Product")</f>
        <v/>
      </c>
    </row>
    <row r="248">
      <c r="A248" t="inlineStr">
        <is>
          <t>5903018900667</t>
        </is>
      </c>
      <c r="B248" t="inlineStr">
        <is>
          <t>T4B MIMO White Nail File with Gradation 180/240</t>
        </is>
      </c>
      <c r="C248" t="inlineStr">
        <is>
          <t>Nail Clippers &amp; Tools</t>
        </is>
      </c>
      <c r="D248" t="inlineStr">
        <is>
          <t>Tb Tools For Beauty</t>
        </is>
      </c>
      <c r="E248" t="n">
        <v>0.18</v>
      </c>
      <c r="F248" t="n">
        <v>1</v>
      </c>
      <c r="G248" t="n">
        <v>16502</v>
      </c>
      <c r="H248" t="inlineStr">
        <is>
          <t>No</t>
        </is>
      </c>
      <c r="I248" t="inlineStr"/>
      <c r="J248" t="n">
        <v>1</v>
      </c>
      <c r="K248" t="n">
        <v>16502</v>
      </c>
      <c r="L248" s="5">
        <f>HYPERLINK("https://api.qogita.com/variants/link/5903018900667/", "View Product")</f>
        <v/>
      </c>
    </row>
    <row r="249">
      <c r="A249" t="inlineStr">
        <is>
          <t>5903018900674</t>
        </is>
      </c>
      <c r="B249" t="inlineStr">
        <is>
          <t>T4B MIMO Black Banana Shaped Nail File with 100/180 Grit</t>
        </is>
      </c>
      <c r="C249" t="inlineStr">
        <is>
          <t>Nail Clippers &amp; Tools</t>
        </is>
      </c>
      <c r="D249" t="inlineStr">
        <is>
          <t>Tb Tools For Beauty</t>
        </is>
      </c>
      <c r="E249" t="n">
        <v>0.17</v>
      </c>
      <c r="F249" t="n">
        <v>1</v>
      </c>
      <c r="G249" t="n">
        <v>16982</v>
      </c>
      <c r="H249" t="inlineStr">
        <is>
          <t>No</t>
        </is>
      </c>
      <c r="I249" t="inlineStr"/>
      <c r="J249" t="n">
        <v>1</v>
      </c>
      <c r="K249" t="n">
        <v>16982</v>
      </c>
      <c r="L249" s="5">
        <f>HYPERLINK("https://api.qogita.com/variants/link/5903018900674/", "View Product")</f>
        <v/>
      </c>
    </row>
    <row r="250">
      <c r="A250" t="inlineStr">
        <is>
          <t>5903018900681</t>
        </is>
      </c>
      <c r="B250" t="inlineStr">
        <is>
          <t>T4B MIMO Black Nail File with Gradation 180/240</t>
        </is>
      </c>
      <c r="C250" t="inlineStr">
        <is>
          <t>Nail Care</t>
        </is>
      </c>
      <c r="D250" t="inlineStr">
        <is>
          <t>Tb Tools For Beauty</t>
        </is>
      </c>
      <c r="E250" t="n">
        <v>0.11</v>
      </c>
      <c r="F250" t="n">
        <v>1</v>
      </c>
      <c r="G250" t="n">
        <v>33382</v>
      </c>
      <c r="H250" t="inlineStr">
        <is>
          <t>No</t>
        </is>
      </c>
      <c r="I250" t="inlineStr"/>
      <c r="J250" t="n">
        <v>1</v>
      </c>
      <c r="K250" t="n">
        <v>33382</v>
      </c>
      <c r="L250" s="5">
        <f>HYPERLINK("https://api.qogita.com/variants/link/5903018900681/", "View Product")</f>
        <v/>
      </c>
    </row>
    <row r="251">
      <c r="A251" t="inlineStr">
        <is>
          <t>5903018900698</t>
        </is>
      </c>
      <c r="B251" t="inlineStr">
        <is>
          <t>T4B MIMO Straight Wide Nail File in Zebra Color 100/180</t>
        </is>
      </c>
      <c r="C251" t="inlineStr">
        <is>
          <t>Nail Care</t>
        </is>
      </c>
      <c r="D251" t="inlineStr">
        <is>
          <t>Tb Tools For Beauty</t>
        </is>
      </c>
      <c r="E251" t="n">
        <v>0.18</v>
      </c>
      <c r="F251" t="n">
        <v>1</v>
      </c>
      <c r="G251" t="n">
        <v>14671</v>
      </c>
      <c r="H251" t="inlineStr">
        <is>
          <t>No</t>
        </is>
      </c>
      <c r="I251" t="inlineStr"/>
      <c r="J251" t="n">
        <v>1</v>
      </c>
      <c r="K251" t="n">
        <v>14671</v>
      </c>
      <c r="L251" s="5">
        <f>HYPERLINK("https://api.qogita.com/variants/link/5903018900698/", "View Product")</f>
        <v/>
      </c>
    </row>
    <row r="252">
      <c r="A252" t="inlineStr">
        <is>
          <t>5903018900704</t>
        </is>
      </c>
      <c r="B252" t="inlineStr">
        <is>
          <t>T4B MIMO Straight Wide Zebra Nail File 150/150</t>
        </is>
      </c>
      <c r="C252" t="inlineStr">
        <is>
          <t>Nail Care</t>
        </is>
      </c>
      <c r="D252" t="inlineStr">
        <is>
          <t>Tb Tools For Beauty</t>
        </is>
      </c>
      <c r="E252" t="n">
        <v>0.18</v>
      </c>
      <c r="F252" t="n">
        <v>1</v>
      </c>
      <c r="G252" t="n">
        <v>22691</v>
      </c>
      <c r="H252" t="inlineStr">
        <is>
          <t>No</t>
        </is>
      </c>
      <c r="I252" t="inlineStr"/>
      <c r="J252" t="n">
        <v>1</v>
      </c>
      <c r="K252" t="n">
        <v>22691</v>
      </c>
      <c r="L252" s="5">
        <f>HYPERLINK("https://api.qogita.com/variants/link/5903018900704/", "View Product")</f>
        <v/>
      </c>
    </row>
    <row r="253">
      <c r="A253" t="inlineStr">
        <is>
          <t>5903018900728</t>
        </is>
      </c>
      <c r="B253" t="inlineStr">
        <is>
          <t>T4B MIMO Multi-Layered Paper Nail File</t>
        </is>
      </c>
      <c r="C253" t="inlineStr">
        <is>
          <t>Nail Care</t>
        </is>
      </c>
      <c r="D253" t="inlineStr">
        <is>
          <t>Tb Tools For Beauty</t>
        </is>
      </c>
      <c r="E253" t="n">
        <v>0.49</v>
      </c>
      <c r="F253" t="n">
        <v>1</v>
      </c>
      <c r="G253" t="n">
        <v>5267</v>
      </c>
      <c r="H253" t="inlineStr">
        <is>
          <t>No</t>
        </is>
      </c>
      <c r="I253" t="inlineStr"/>
      <c r="J253" t="n">
        <v>1</v>
      </c>
      <c r="K253" t="n">
        <v>5267</v>
      </c>
      <c r="L253" s="5">
        <f>HYPERLINK("https://api.qogita.com/variants/link/5903018900728/", "View Product")</f>
        <v/>
      </c>
    </row>
    <row r="254">
      <c r="A254" t="inlineStr">
        <is>
          <t>5903018900735</t>
        </is>
      </c>
      <c r="B254" t="inlineStr">
        <is>
          <t>T4B MIMO Disposable Paper Nail Files 6 Pieces - Pack of 6</t>
        </is>
      </c>
      <c r="C254" t="inlineStr">
        <is>
          <t>Nail Care Sets</t>
        </is>
      </c>
      <c r="D254" t="inlineStr">
        <is>
          <t>Tb Tools For Beauty</t>
        </is>
      </c>
      <c r="E254" t="n">
        <v>0.27</v>
      </c>
      <c r="F254" t="n">
        <v>1</v>
      </c>
      <c r="G254" t="n">
        <v>12007</v>
      </c>
      <c r="H254" t="inlineStr">
        <is>
          <t>No</t>
        </is>
      </c>
      <c r="I254" t="inlineStr"/>
      <c r="J254" t="n">
        <v>1</v>
      </c>
      <c r="K254" t="n">
        <v>12007</v>
      </c>
      <c r="L254" s="5">
        <f>HYPERLINK("https://api.qogita.com/variants/link/5903018900735/", "View Product")</f>
        <v/>
      </c>
    </row>
    <row r="255">
      <c r="A255" t="inlineStr">
        <is>
          <t>5903018900759</t>
        </is>
      </c>
      <c r="B255" t="inlineStr">
        <is>
          <t>Mimo Double-Sided Pink Polishing File Boat-Shaped</t>
        </is>
      </c>
      <c r="C255" t="inlineStr">
        <is>
          <t>Nail Care</t>
        </is>
      </c>
      <c r="D255" t="inlineStr">
        <is>
          <t>‎Mimo</t>
        </is>
      </c>
      <c r="E255" t="n">
        <v>0.31</v>
      </c>
      <c r="F255" t="n">
        <v>1</v>
      </c>
      <c r="G255" t="n">
        <v>6777</v>
      </c>
      <c r="H255" t="inlineStr">
        <is>
          <t>No</t>
        </is>
      </c>
      <c r="I255" t="inlineStr"/>
      <c r="J255" t="n">
        <v>1</v>
      </c>
      <c r="K255" t="n">
        <v>6777</v>
      </c>
      <c r="L255" s="5">
        <f>HYPERLINK("https://api.qogita.com/variants/link/5903018900759/", "View Product")</f>
        <v/>
      </c>
    </row>
    <row r="256">
      <c r="A256" t="inlineStr">
        <is>
          <t>5903018900766</t>
        </is>
      </c>
      <c r="B256" t="inlineStr">
        <is>
          <t>T4B MIMO Cat Paper Nail File</t>
        </is>
      </c>
      <c r="C256" t="inlineStr">
        <is>
          <t>Nail Care</t>
        </is>
      </c>
      <c r="D256" t="inlineStr">
        <is>
          <t>Tb Tools For Beauty</t>
        </is>
      </c>
      <c r="E256" t="n">
        <v>0.17</v>
      </c>
      <c r="F256" t="n">
        <v>1</v>
      </c>
      <c r="G256" t="n">
        <v>6823</v>
      </c>
      <c r="H256" t="inlineStr">
        <is>
          <t>No</t>
        </is>
      </c>
      <c r="I256" t="inlineStr"/>
      <c r="J256" t="n">
        <v>1</v>
      </c>
      <c r="K256" t="n">
        <v>6823</v>
      </c>
      <c r="L256" s="5">
        <f>HYPERLINK("https://api.qogita.com/variants/link/5903018900766/", "View Product")</f>
        <v/>
      </c>
    </row>
    <row r="257">
      <c r="A257" t="inlineStr">
        <is>
          <t>5903018900773</t>
        </is>
      </c>
      <c r="B257" t="inlineStr">
        <is>
          <t>T4B MIMO Paper Nail File - Rabbit</t>
        </is>
      </c>
      <c r="C257" t="inlineStr">
        <is>
          <t>Nail Care</t>
        </is>
      </c>
      <c r="D257" t="inlineStr">
        <is>
          <t>Tb Tools For Beauty</t>
        </is>
      </c>
      <c r="E257" t="n">
        <v>0.18</v>
      </c>
      <c r="F257" t="n">
        <v>1</v>
      </c>
      <c r="G257" t="n">
        <v>6892</v>
      </c>
      <c r="H257" t="inlineStr">
        <is>
          <t>No</t>
        </is>
      </c>
      <c r="I257" t="inlineStr"/>
      <c r="J257" t="n">
        <v>1</v>
      </c>
      <c r="K257" t="n">
        <v>6892</v>
      </c>
      <c r="L257" s="5">
        <f>HYPERLINK("https://api.qogita.com/variants/link/5903018900773/", "View Product")</f>
        <v/>
      </c>
    </row>
    <row r="258">
      <c r="A258" t="inlineStr">
        <is>
          <t>5903018920016</t>
        </is>
      </c>
      <c r="B258" t="inlineStr">
        <is>
          <t>Mimo Nail Buffer Mini Purple 50g</t>
        </is>
      </c>
      <c r="C258" t="inlineStr">
        <is>
          <t>Nail Care</t>
        </is>
      </c>
      <c r="D258" t="inlineStr">
        <is>
          <t>‎Mimo</t>
        </is>
      </c>
      <c r="E258" t="n">
        <v>0.18</v>
      </c>
      <c r="F258" t="n">
        <v>1</v>
      </c>
      <c r="G258" t="n">
        <v>2</v>
      </c>
      <c r="H258" t="inlineStr">
        <is>
          <t>No</t>
        </is>
      </c>
      <c r="I258" t="inlineStr"/>
      <c r="J258" t="n">
        <v>1</v>
      </c>
      <c r="K258" t="n">
        <v>2</v>
      </c>
      <c r="L258" s="5">
        <f>HYPERLINK("https://api.qogita.com/variants/link/5903018920016/", "View Product")</f>
        <v/>
      </c>
    </row>
    <row r="259">
      <c r="A259" t="inlineStr">
        <is>
          <t>0071603001480</t>
        </is>
      </c>
      <c r="B259" t="inlineStr">
        <is>
          <t>Trim 5-Inch Sapphire Nail File - Professional Quality</t>
        </is>
      </c>
      <c r="C259" t="inlineStr">
        <is>
          <t>Nail Clippers &amp; Tools</t>
        </is>
      </c>
      <c r="D259" t="inlineStr">
        <is>
          <t>Trim</t>
        </is>
      </c>
      <c r="E259" t="n">
        <v>0.5600000000000001</v>
      </c>
      <c r="F259" t="n">
        <v>1</v>
      </c>
      <c r="G259" t="n">
        <v>39</v>
      </c>
      <c r="H259" t="inlineStr">
        <is>
          <t>No</t>
        </is>
      </c>
      <c r="I259" t="inlineStr"/>
      <c r="J259" t="n">
        <v>1</v>
      </c>
      <c r="K259" t="n">
        <v>39</v>
      </c>
      <c r="L259" s="5">
        <f>HYPERLINK("https://api.qogita.com/variants/link/0071603001480/", "View Product")</f>
        <v/>
      </c>
    </row>
    <row r="260">
      <c r="A260" t="inlineStr">
        <is>
          <t>0071603004474</t>
        </is>
      </c>
      <c r="B260" t="inlineStr">
        <is>
          <t>Trim Nail Clipper with File and Chain</t>
        </is>
      </c>
      <c r="C260" t="inlineStr">
        <is>
          <t>Nail Clippers &amp; Tools</t>
        </is>
      </c>
      <c r="D260" t="inlineStr">
        <is>
          <t>Trim</t>
        </is>
      </c>
      <c r="E260" t="n">
        <v>0.53</v>
      </c>
      <c r="F260" t="n">
        <v>1</v>
      </c>
      <c r="G260" t="n">
        <v>270</v>
      </c>
      <c r="H260" t="inlineStr">
        <is>
          <t>No</t>
        </is>
      </c>
      <c r="I260" t="inlineStr"/>
      <c r="J260" t="n">
        <v>2</v>
      </c>
      <c r="K260" t="n">
        <v>276</v>
      </c>
      <c r="L260" s="5">
        <f>HYPERLINK("https://api.qogita.com/variants/link/0071603004474/", "View Product")</f>
        <v/>
      </c>
    </row>
    <row r="261">
      <c r="A261" t="inlineStr">
        <is>
          <t>0071603005273</t>
        </is>
      </c>
      <c r="B261" t="inlineStr">
        <is>
          <t>Trim 10-50 Bi Stainless Steel Nail Cutter</t>
        </is>
      </c>
      <c r="C261" t="inlineStr">
        <is>
          <t>Nail Clippers &amp; Tools</t>
        </is>
      </c>
      <c r="D261" t="inlineStr">
        <is>
          <t>Trim</t>
        </is>
      </c>
      <c r="E261" t="n">
        <v>3.72</v>
      </c>
      <c r="F261" t="n">
        <v>1</v>
      </c>
      <c r="G261" t="n">
        <v>63</v>
      </c>
      <c r="H261" t="inlineStr">
        <is>
          <t>No</t>
        </is>
      </c>
      <c r="I261" t="inlineStr"/>
      <c r="J261" t="n">
        <v>1</v>
      </c>
      <c r="K261" t="n">
        <v>63</v>
      </c>
      <c r="L261" s="5">
        <f>HYPERLINK("https://api.qogita.com/variants/link/0071603005273/", "View Product")</f>
        <v/>
      </c>
    </row>
    <row r="262">
      <c r="A262" t="inlineStr">
        <is>
          <t>0071603010048</t>
        </is>
      </c>
      <c r="B262" t="inlineStr">
        <is>
          <t>Trim Stainless Steel Cuticle Pusher 10 x 6 x 1 cm</t>
        </is>
      </c>
      <c r="C262" t="inlineStr">
        <is>
          <t>Cuticle Removers</t>
        </is>
      </c>
      <c r="D262" t="inlineStr">
        <is>
          <t>Trim</t>
        </is>
      </c>
      <c r="E262" t="n">
        <v>1.68</v>
      </c>
      <c r="F262" t="n">
        <v>1</v>
      </c>
      <c r="G262" t="n">
        <v>56</v>
      </c>
      <c r="H262" t="inlineStr">
        <is>
          <t>No</t>
        </is>
      </c>
      <c r="I262" t="inlineStr"/>
      <c r="J262" t="n">
        <v>1</v>
      </c>
      <c r="K262" t="n">
        <v>56</v>
      </c>
      <c r="L262" s="5">
        <f>HYPERLINK("https://api.qogita.com/variants/link/0071603010048/", "View Product")</f>
        <v/>
      </c>
    </row>
    <row r="263">
      <c r="A263" t="inlineStr">
        <is>
          <t>0071603045491</t>
        </is>
      </c>
      <c r="B263" t="inlineStr">
        <is>
          <t>Trim Nail Scissors Trim 1045bi</t>
        </is>
      </c>
      <c r="C263" t="inlineStr">
        <is>
          <t>Nail Clippers &amp; Tools</t>
        </is>
      </c>
      <c r="D263" t="inlineStr">
        <is>
          <t>Trim</t>
        </is>
      </c>
      <c r="E263" t="n">
        <v>2.54</v>
      </c>
      <c r="F263" t="n">
        <v>1</v>
      </c>
      <c r="G263" t="n">
        <v>50</v>
      </c>
      <c r="H263" t="inlineStr">
        <is>
          <t>No</t>
        </is>
      </c>
      <c r="I263" t="inlineStr"/>
      <c r="J263" t="n">
        <v>1</v>
      </c>
      <c r="K263" t="n">
        <v>50</v>
      </c>
      <c r="L263" s="5">
        <f>HYPERLINK("https://api.qogita.com/variants/link/0071603045491/", "View Product")</f>
        <v/>
      </c>
    </row>
    <row r="264">
      <c r="A264" t="inlineStr">
        <is>
          <t>0071603105003</t>
        </is>
      </c>
      <c r="B264" t="inlineStr">
        <is>
          <t>Trim Cuticle Nipper and Pusher Set - Professional Quality Stainless Steel Tools for Nail Care (2 Count)</t>
        </is>
      </c>
      <c r="C264" t="inlineStr">
        <is>
          <t>Cuticle Removers</t>
        </is>
      </c>
      <c r="D264" t="inlineStr">
        <is>
          <t>Trim</t>
        </is>
      </c>
      <c r="E264" t="n">
        <v>3.92</v>
      </c>
      <c r="F264" t="n">
        <v>1</v>
      </c>
      <c r="G264" t="n">
        <v>48</v>
      </c>
      <c r="H264" t="inlineStr">
        <is>
          <t>No</t>
        </is>
      </c>
      <c r="I264" t="inlineStr"/>
      <c r="J264" t="n">
        <v>1</v>
      </c>
      <c r="K264" t="n">
        <v>48</v>
      </c>
      <c r="L264" s="5">
        <f>HYPERLINK("https://api.qogita.com/variants/link/0071603105003/", "View Product")</f>
        <v/>
      </c>
    </row>
    <row r="265">
      <c r="A265" t="inlineStr">
        <is>
          <t>0071603121409</t>
        </is>
      </c>
      <c r="B265" t="inlineStr">
        <is>
          <t>Trim Cuticle Remover and Pusher</t>
        </is>
      </c>
      <c r="C265" t="inlineStr">
        <is>
          <t>Cuticle Removers</t>
        </is>
      </c>
      <c r="D265" t="inlineStr">
        <is>
          <t>Trim</t>
        </is>
      </c>
      <c r="E265" t="n">
        <v>0.66</v>
      </c>
      <c r="F265" t="n">
        <v>1</v>
      </c>
      <c r="G265" t="n">
        <v>81</v>
      </c>
      <c r="H265" t="inlineStr">
        <is>
          <t>No</t>
        </is>
      </c>
      <c r="I265" t="inlineStr"/>
      <c r="J265" t="n">
        <v>1</v>
      </c>
      <c r="K265" t="n">
        <v>81</v>
      </c>
      <c r="L265" s="5">
        <f>HYPERLINK("https://api.qogita.com/variants/link/0071603121409/", "View Product")</f>
        <v/>
      </c>
    </row>
    <row r="266">
      <c r="A266" t="inlineStr">
        <is>
          <t>0071603410008</t>
        </is>
      </c>
      <c r="B266" t="inlineStr">
        <is>
          <t>Trim Nail Clipper 150g</t>
        </is>
      </c>
      <c r="C266" t="inlineStr">
        <is>
          <t>Nail Clippers &amp; Tools</t>
        </is>
      </c>
      <c r="D266" t="inlineStr">
        <is>
          <t>Trim</t>
        </is>
      </c>
      <c r="E266" t="n">
        <v>1.08</v>
      </c>
      <c r="F266" t="n">
        <v>1</v>
      </c>
      <c r="G266" t="n">
        <v>124</v>
      </c>
      <c r="H266" t="inlineStr">
        <is>
          <t>No</t>
        </is>
      </c>
      <c r="I266" t="inlineStr"/>
      <c r="J266" t="n">
        <v>2</v>
      </c>
      <c r="K266" t="n">
        <v>142</v>
      </c>
      <c r="L266" s="5">
        <f>HYPERLINK("https://api.qogita.com/variants/link/0071603410008/", "View Product")</f>
        <v/>
      </c>
    </row>
    <row r="267">
      <c r="A267" t="inlineStr">
        <is>
          <t>0071603625006</t>
        </is>
      </c>
      <c r="B267" t="inlineStr">
        <is>
          <t>Trim Emery Board Nail Filer 10 Inches</t>
        </is>
      </c>
      <c r="C267" t="inlineStr">
        <is>
          <t>Nail Clippers &amp; Tools</t>
        </is>
      </c>
      <c r="D267" t="inlineStr">
        <is>
          <t>Trim</t>
        </is>
      </c>
      <c r="E267" t="n">
        <v>0.53</v>
      </c>
      <c r="F267" t="n">
        <v>1</v>
      </c>
      <c r="G267" t="n">
        <v>64</v>
      </c>
      <c r="H267" t="inlineStr">
        <is>
          <t>No</t>
        </is>
      </c>
      <c r="I267" t="inlineStr"/>
      <c r="J267" t="n">
        <v>1</v>
      </c>
      <c r="K267" t="n">
        <v>64</v>
      </c>
      <c r="L267" s="5">
        <f>HYPERLINK("https://api.qogita.com/variants/link/0071603625006/", "View Product")</f>
        <v/>
      </c>
    </row>
    <row r="268">
      <c r="A268" t="inlineStr">
        <is>
          <t>0071603979000</t>
        </is>
      </c>
      <c r="B268" t="inlineStr">
        <is>
          <t>Henckels Sapphire Nail File</t>
        </is>
      </c>
      <c r="C268" t="inlineStr">
        <is>
          <t>Nail Clippers &amp; Tools</t>
        </is>
      </c>
      <c r="D268" t="inlineStr">
        <is>
          <t>Zwilling J.A. Henckels</t>
        </is>
      </c>
      <c r="E268" t="n">
        <v>0.65</v>
      </c>
      <c r="F268" t="n">
        <v>1</v>
      </c>
      <c r="G268" t="n">
        <v>56</v>
      </c>
      <c r="H268" t="inlineStr">
        <is>
          <t>No</t>
        </is>
      </c>
      <c r="I268" t="inlineStr"/>
      <c r="J268" t="n">
        <v>1</v>
      </c>
      <c r="K268" t="n">
        <v>56</v>
      </c>
      <c r="L268" s="5">
        <f>HYPERLINK("https://api.qogita.com/variants/link/0071603979000/", "View Product")</f>
        <v/>
      </c>
    </row>
    <row r="269">
      <c r="A269" t="inlineStr">
        <is>
          <t>0731509659771</t>
        </is>
      </c>
      <c r="B269" t="inlineStr">
        <is>
          <t>KISS 4in1 Nail File</t>
        </is>
      </c>
      <c r="C269" t="inlineStr">
        <is>
          <t>Nail Care Sets</t>
        </is>
      </c>
      <c r="D269" t="inlineStr">
        <is>
          <t>Kiss</t>
        </is>
      </c>
      <c r="E269" t="n">
        <v>1.23</v>
      </c>
      <c r="F269" t="n">
        <v>12</v>
      </c>
      <c r="G269" t="n">
        <v>36</v>
      </c>
      <c r="H269" t="inlineStr">
        <is>
          <t>No</t>
        </is>
      </c>
      <c r="I269" t="inlineStr"/>
      <c r="J269" t="n">
        <v>1</v>
      </c>
      <c r="K269" t="n">
        <v>36</v>
      </c>
      <c r="L269" s="5">
        <f>HYPERLINK("https://api.qogita.com/variants/link/0731509659771/", "View Product")</f>
        <v/>
      </c>
    </row>
    <row r="270">
      <c r="A270" t="inlineStr">
        <is>
          <t>0731509659788</t>
        </is>
      </c>
      <c r="B270" t="inlineStr">
        <is>
          <t>Papier Nail File F225 6 Lime</t>
        </is>
      </c>
      <c r="C270" t="inlineStr">
        <is>
          <t>Nail Care</t>
        </is>
      </c>
      <c r="D270" t="inlineStr">
        <is>
          <t>Kiss</t>
        </is>
      </c>
      <c r="E270" t="n">
        <v>1.29</v>
      </c>
      <c r="F270" t="n">
        <v>12</v>
      </c>
      <c r="G270" t="n">
        <v>72</v>
      </c>
      <c r="H270" t="inlineStr">
        <is>
          <t>No</t>
        </is>
      </c>
      <c r="I270" t="inlineStr"/>
      <c r="J270" t="n">
        <v>1</v>
      </c>
      <c r="K270" t="n">
        <v>72</v>
      </c>
      <c r="L270" s="5">
        <f>HYPERLINK("https://api.qogita.com/variants/link/0731509659788/", "View Product")</f>
        <v/>
      </c>
    </row>
    <row r="271">
      <c r="A271" t="inlineStr">
        <is>
          <t>4038033107409</t>
        </is>
      </c>
      <c r="B271" t="inlineStr">
        <is>
          <t>Bonvoyage Nail Kit Manicure Set with 4 Nail Polishes and Accessories - Multicolor</t>
        </is>
      </c>
      <c r="C271" t="inlineStr">
        <is>
          <t>Manicure Sets</t>
        </is>
      </c>
      <c r="D271" t="inlineStr">
        <is>
          <t>Bonvoyage</t>
        </is>
      </c>
      <c r="E271" t="n">
        <v>5.67</v>
      </c>
      <c r="F271" t="n">
        <v>1</v>
      </c>
      <c r="G271" t="n">
        <v>39</v>
      </c>
      <c r="H271" t="inlineStr">
        <is>
          <t>No</t>
        </is>
      </c>
      <c r="I271" t="inlineStr"/>
      <c r="J271" t="n">
        <v>1</v>
      </c>
      <c r="K271" t="n">
        <v>39</v>
      </c>
      <c r="L271" s="5">
        <f>HYPERLINK("https://api.qogita.com/variants/link/4038033107409/", "View Product")</f>
        <v/>
      </c>
    </row>
    <row r="272">
      <c r="A272" t="inlineStr">
        <is>
          <t>4059729585394</t>
        </is>
      </c>
      <c r="B272" t="inlineStr">
        <is>
          <t>Essence Juicy Nail 01 Nail Balm</t>
        </is>
      </c>
      <c r="C272" t="inlineStr">
        <is>
          <t>Nail Oil</t>
        </is>
      </c>
      <c r="D272" t="inlineStr">
        <is>
          <t>Essence</t>
        </is>
      </c>
      <c r="E272" t="n">
        <v>1.51</v>
      </c>
      <c r="F272" t="n">
        <v>3</v>
      </c>
      <c r="G272" t="n">
        <v>222</v>
      </c>
      <c r="H272" t="inlineStr">
        <is>
          <t>No</t>
        </is>
      </c>
      <c r="I272" t="inlineStr"/>
      <c r="J272" t="n">
        <v>1</v>
      </c>
      <c r="K272" t="n">
        <v>222</v>
      </c>
      <c r="L272" s="5">
        <f>HYPERLINK("https://api.qogita.com/variants/link/4059729585394/", "View Product")</f>
        <v/>
      </c>
    </row>
    <row r="273">
      <c r="A273" t="inlineStr">
        <is>
          <t>7618900914018</t>
        </is>
      </c>
      <c r="B273" t="inlineStr">
        <is>
          <t>Mavala Mavala Cuticle Cream 15ml</t>
        </is>
      </c>
      <c r="C273" t="inlineStr">
        <is>
          <t>Cuticle Removers</t>
        </is>
      </c>
      <c r="D273" t="inlineStr">
        <is>
          <t>Mavala</t>
        </is>
      </c>
      <c r="E273" t="n">
        <v>6.02</v>
      </c>
      <c r="F273" t="n">
        <v>1</v>
      </c>
      <c r="G273" t="n">
        <v>10</v>
      </c>
      <c r="H273" t="inlineStr">
        <is>
          <t>No</t>
        </is>
      </c>
      <c r="I273" t="inlineStr"/>
      <c r="J273" t="n">
        <v>2</v>
      </c>
      <c r="K273" t="n">
        <v>44</v>
      </c>
      <c r="L273" s="5">
        <f>HYPERLINK("https://api.qogita.com/variants/link/7618900914018/", "View Product")</f>
        <v/>
      </c>
    </row>
    <row r="274">
      <c r="A274" t="inlineStr">
        <is>
          <t>8015150107648</t>
        </is>
      </c>
      <c r="B274" t="inlineStr">
        <is>
          <t>Collistar 3 In 1 Base Strengthener Fixer 10ml</t>
        </is>
      </c>
      <c r="C274" t="inlineStr">
        <is>
          <t>Nail Care Sets</t>
        </is>
      </c>
      <c r="D274" t="inlineStr">
        <is>
          <t>Collistar</t>
        </is>
      </c>
      <c r="E274" t="n">
        <v>5.59</v>
      </c>
      <c r="F274" t="n">
        <v>1</v>
      </c>
      <c r="G274" t="n">
        <v>118</v>
      </c>
      <c r="H274" t="inlineStr">
        <is>
          <t>No</t>
        </is>
      </c>
      <c r="I274" t="inlineStr"/>
      <c r="J274" t="n">
        <v>1</v>
      </c>
      <c r="K274" t="n">
        <v>118</v>
      </c>
      <c r="L274" s="5">
        <f>HYPERLINK("https://api.qogita.com/variants/link/8015150107648/", "View Product")</f>
        <v/>
      </c>
    </row>
    <row r="275">
      <c r="A275" t="inlineStr">
        <is>
          <t>8052440130160</t>
        </is>
      </c>
      <c r="B275" t="inlineStr">
        <is>
          <t>Vantage Nail Clipper 10cm Steel</t>
        </is>
      </c>
      <c r="C275" t="inlineStr">
        <is>
          <t>Nail Clippers &amp; Tools</t>
        </is>
      </c>
      <c r="D275" t="inlineStr">
        <is>
          <t>Vantag</t>
        </is>
      </c>
      <c r="E275" t="n">
        <v>4.31</v>
      </c>
      <c r="F275" t="n">
        <v>6</v>
      </c>
      <c r="G275" t="n">
        <v>96</v>
      </c>
      <c r="H275" t="inlineStr">
        <is>
          <t>No</t>
        </is>
      </c>
      <c r="I275" t="inlineStr"/>
      <c r="J275" t="n">
        <v>1</v>
      </c>
      <c r="K275" t="n">
        <v>96</v>
      </c>
      <c r="L275" s="5">
        <f>HYPERLINK("https://api.qogita.com/variants/link/8052440130160/", "View Product")</f>
        <v/>
      </c>
    </row>
    <row r="276">
      <c r="A276" t="inlineStr">
        <is>
          <t>8052440130177</t>
        </is>
      </c>
      <c r="B276" t="inlineStr">
        <is>
          <t>Vantage Cuticle Cutters 10cm Steel</t>
        </is>
      </c>
      <c r="C276" t="inlineStr">
        <is>
          <t>Cuticle Removers</t>
        </is>
      </c>
      <c r="D276" t="inlineStr">
        <is>
          <t>‎Vantage</t>
        </is>
      </c>
      <c r="E276" t="n">
        <v>4.31</v>
      </c>
      <c r="F276" t="n">
        <v>6</v>
      </c>
      <c r="G276" t="n">
        <v>78</v>
      </c>
      <c r="H276" t="inlineStr">
        <is>
          <t>No</t>
        </is>
      </c>
      <c r="I276" t="inlineStr"/>
      <c r="J276" t="n">
        <v>1</v>
      </c>
      <c r="K276" t="n">
        <v>78</v>
      </c>
      <c r="L276" s="5">
        <f>HYPERLINK("https://api.qogita.com/variants/link/8052440130177/", "View Product")</f>
        <v/>
      </c>
    </row>
    <row r="277">
      <c r="A277" t="inlineStr">
        <is>
          <t>8052440130184</t>
        </is>
      </c>
      <c r="B277" t="inlineStr">
        <is>
          <t>Vantage Nail Clipper for Hands</t>
        </is>
      </c>
      <c r="C277" t="inlineStr">
        <is>
          <t>Nail Clippers &amp; Tools</t>
        </is>
      </c>
      <c r="D277" t="inlineStr">
        <is>
          <t>Vanté</t>
        </is>
      </c>
      <c r="E277" t="n">
        <v>0.88</v>
      </c>
      <c r="F277" t="n">
        <v>3</v>
      </c>
      <c r="G277" t="n">
        <v>99</v>
      </c>
      <c r="H277" t="inlineStr">
        <is>
          <t>No</t>
        </is>
      </c>
      <c r="I277" t="inlineStr"/>
      <c r="J277" t="n">
        <v>1</v>
      </c>
      <c r="K277" t="n">
        <v>99</v>
      </c>
      <c r="L277" s="5">
        <f>HYPERLINK("https://api.qogita.com/variants/link/8052440130184/", "View Product")</f>
        <v/>
      </c>
    </row>
    <row r="278">
      <c r="A278" t="inlineStr">
        <is>
          <t>8052440130191</t>
        </is>
      </c>
      <c r="B278" t="inlineStr">
        <is>
          <t>Vantage Nail Clipper for Feet</t>
        </is>
      </c>
      <c r="C278" t="inlineStr">
        <is>
          <t>Nail Clippers &amp; Tools</t>
        </is>
      </c>
      <c r="D278" t="inlineStr">
        <is>
          <t>Vanté</t>
        </is>
      </c>
      <c r="E278" t="n">
        <v>1.09</v>
      </c>
      <c r="F278" t="n">
        <v>3</v>
      </c>
      <c r="G278" t="n">
        <v>90</v>
      </c>
      <c r="H278" t="inlineStr">
        <is>
          <t>No</t>
        </is>
      </c>
      <c r="I278" t="inlineStr"/>
      <c r="J278" t="n">
        <v>1</v>
      </c>
      <c r="K278" t="n">
        <v>90</v>
      </c>
      <c r="L278" s="5">
        <f>HYPERLINK("https://api.qogita.com/variants/link/8052440130191/", "View Product")</f>
        <v/>
      </c>
    </row>
    <row r="279">
      <c r="A279" t="inlineStr">
        <is>
          <t>8052440130252</t>
        </is>
      </c>
      <c r="B279" t="inlineStr">
        <is>
          <t>Vantage GM025 Cuticle Cutter</t>
        </is>
      </c>
      <c r="C279" t="inlineStr">
        <is>
          <t>Cuticle Removers</t>
        </is>
      </c>
      <c r="D279" t="inlineStr">
        <is>
          <t>Vantag</t>
        </is>
      </c>
      <c r="E279" t="n">
        <v>2.02</v>
      </c>
      <c r="F279" t="n">
        <v>6</v>
      </c>
      <c r="G279" t="n">
        <v>66</v>
      </c>
      <c r="H279" t="inlineStr">
        <is>
          <t>No</t>
        </is>
      </c>
      <c r="I279" t="inlineStr"/>
      <c r="J279" t="n">
        <v>1</v>
      </c>
      <c r="K279" t="n">
        <v>66</v>
      </c>
      <c r="L279" s="5">
        <f>HYPERLINK("https://api.qogita.com/variants/link/8052440130252/", "View Product")</f>
        <v/>
      </c>
    </row>
    <row r="280">
      <c r="A280" t="inlineStr">
        <is>
          <t>8052440130283</t>
        </is>
      </c>
      <c r="B280" t="inlineStr">
        <is>
          <t>Vantage Gm028 Lime Unghie Zaff Cor</t>
        </is>
      </c>
      <c r="C280" t="inlineStr">
        <is>
          <t>Nail Care</t>
        </is>
      </c>
      <c r="D280" t="inlineStr">
        <is>
          <t>‎Vantage</t>
        </is>
      </c>
      <c r="E280" t="n">
        <v>0.97</v>
      </c>
      <c r="F280" t="n">
        <v>6</v>
      </c>
      <c r="G280" t="n">
        <v>36</v>
      </c>
      <c r="H280" t="inlineStr">
        <is>
          <t>No</t>
        </is>
      </c>
      <c r="I280" t="inlineStr"/>
      <c r="J280" t="n">
        <v>1</v>
      </c>
      <c r="K280" t="n">
        <v>36</v>
      </c>
      <c r="L280" s="5">
        <f>HYPERLINK("https://api.qogita.com/variants/link/8052440130283/", "View Product")</f>
        <v/>
      </c>
    </row>
    <row r="281">
      <c r="A281" t="inlineStr">
        <is>
          <t>8052440130740</t>
        </is>
      </c>
      <c r="B281" t="inlineStr">
        <is>
          <t>Vantage Nail Clipper for Hands</t>
        </is>
      </c>
      <c r="C281" t="inlineStr">
        <is>
          <t>Nail Clippers &amp; Tools</t>
        </is>
      </c>
      <c r="D281" t="inlineStr">
        <is>
          <t>Vanté</t>
        </is>
      </c>
      <c r="E281" t="n">
        <v>1.29</v>
      </c>
      <c r="F281" t="n">
        <v>6</v>
      </c>
      <c r="G281" t="n">
        <v>168</v>
      </c>
      <c r="H281" t="inlineStr">
        <is>
          <t>No</t>
        </is>
      </c>
      <c r="I281" t="inlineStr"/>
      <c r="J281" t="n">
        <v>1</v>
      </c>
      <c r="K281" t="n">
        <v>168</v>
      </c>
      <c r="L281" s="5">
        <f>HYPERLINK("https://api.qogita.com/variants/link/8052440130740/", "View Product")</f>
        <v/>
      </c>
    </row>
    <row r="282">
      <c r="A282" t="inlineStr">
        <is>
          <t>8052440130757</t>
        </is>
      </c>
      <c r="B282" t="inlineStr">
        <is>
          <t>Vantage Nail Clipper for Feet</t>
        </is>
      </c>
      <c r="C282" t="inlineStr">
        <is>
          <t>Nail Clippers &amp; Tools</t>
        </is>
      </c>
      <c r="D282" t="inlineStr">
        <is>
          <t>Vanté</t>
        </is>
      </c>
      <c r="E282" t="n">
        <v>1.4</v>
      </c>
      <c r="F282" t="n">
        <v>6</v>
      </c>
      <c r="G282" t="n">
        <v>102</v>
      </c>
      <c r="H282" t="inlineStr">
        <is>
          <t>No</t>
        </is>
      </c>
      <c r="I282" t="inlineStr"/>
      <c r="J282" t="n">
        <v>1</v>
      </c>
      <c r="K282" t="n">
        <v>102</v>
      </c>
      <c r="L282" s="5">
        <f>HYPERLINK("https://api.qogita.com/variants/link/8052440130757/", "View Product")</f>
        <v/>
      </c>
    </row>
    <row r="283">
      <c r="A283" t="inlineStr">
        <is>
          <t>8052440130764</t>
        </is>
      </c>
      <c r="B283" t="inlineStr">
        <is>
          <t>Vantage Nail Clipper</t>
        </is>
      </c>
      <c r="C283" t="inlineStr">
        <is>
          <t>Nail Clippers &amp; Tools</t>
        </is>
      </c>
      <c r="D283" t="inlineStr">
        <is>
          <t>Vanté</t>
        </is>
      </c>
      <c r="E283" t="n">
        <v>0.84</v>
      </c>
      <c r="F283" t="n">
        <v>6</v>
      </c>
      <c r="G283" t="n">
        <v>102</v>
      </c>
      <c r="H283" t="inlineStr">
        <is>
          <t>No</t>
        </is>
      </c>
      <c r="I283" t="inlineStr"/>
      <c r="J283" t="n">
        <v>1</v>
      </c>
      <c r="K283" t="n">
        <v>102</v>
      </c>
      <c r="L283" s="5">
        <f>HYPERLINK("https://api.qogita.com/variants/link/8052440130764/", "View Product")</f>
        <v/>
      </c>
    </row>
    <row r="284">
      <c r="A284" t="inlineStr">
        <is>
          <t>8052440130771</t>
        </is>
      </c>
      <c r="B284" t="inlineStr">
        <is>
          <t>Vantage Clipper Cuticle Cutter Side</t>
        </is>
      </c>
      <c r="C284" t="inlineStr">
        <is>
          <t>Nail Clippers &amp; Tools</t>
        </is>
      </c>
      <c r="D284" t="inlineStr">
        <is>
          <t>Vantag</t>
        </is>
      </c>
      <c r="E284" t="n">
        <v>0.78</v>
      </c>
      <c r="F284" t="n">
        <v>6</v>
      </c>
      <c r="G284" t="n">
        <v>54</v>
      </c>
      <c r="H284" t="inlineStr">
        <is>
          <t>No</t>
        </is>
      </c>
      <c r="I284" t="inlineStr"/>
      <c r="J284" t="n">
        <v>1</v>
      </c>
      <c r="K284" t="n">
        <v>54</v>
      </c>
      <c r="L284" s="5">
        <f>HYPERLINK("https://api.qogita.com/variants/link/8052440130771/", "View Product")</f>
        <v/>
      </c>
    </row>
    <row r="285">
      <c r="A285" t="inlineStr">
        <is>
          <t>5903018914831</t>
        </is>
      </c>
      <c r="B285" t="inlineStr">
        <is>
          <t>T4B ILU Medium Pocket Nail File with Case Straight High Quality 240/240 Grit</t>
        </is>
      </c>
      <c r="C285" t="inlineStr">
        <is>
          <t>Nail Clippers &amp; Tools</t>
        </is>
      </c>
      <c r="D285" t="inlineStr">
        <is>
          <t>Tb Tools For Beauty</t>
        </is>
      </c>
      <c r="E285" t="n">
        <v>0.58</v>
      </c>
      <c r="F285" t="n">
        <v>1</v>
      </c>
      <c r="G285" t="n">
        <v>2</v>
      </c>
      <c r="H285" t="inlineStr">
        <is>
          <t>No</t>
        </is>
      </c>
      <c r="I285" t="inlineStr"/>
      <c r="J285" t="n">
        <v>1</v>
      </c>
      <c r="K285" t="n">
        <v>2</v>
      </c>
      <c r="L285" s="5">
        <f>HYPERLINK("https://api.qogita.com/variants/link/5903018914831/", "View Product")</f>
        <v/>
      </c>
    </row>
    <row r="286">
      <c r="A286" t="inlineStr">
        <is>
          <t>0017922504127</t>
        </is>
      </c>
      <c r="B286" t="inlineStr">
        <is>
          <t>Barbicide Manicure Table Jar 4 fl oz</t>
        </is>
      </c>
      <c r="C286" t="inlineStr">
        <is>
          <t>Manicure Sets</t>
        </is>
      </c>
      <c r="D286" t="inlineStr">
        <is>
          <t>Barbicide</t>
        </is>
      </c>
      <c r="E286" t="n">
        <v>10.75</v>
      </c>
      <c r="F286" t="n">
        <v>1</v>
      </c>
      <c r="G286" t="n">
        <v>14</v>
      </c>
      <c r="H286" t="inlineStr">
        <is>
          <t>No</t>
        </is>
      </c>
      <c r="I286" t="inlineStr"/>
      <c r="J286" t="n">
        <v>1</v>
      </c>
      <c r="K286" t="n">
        <v>14</v>
      </c>
      <c r="L286" s="5">
        <f>HYPERLINK("https://api.qogita.com/variants/link/0017922504127/", "View Product")</f>
        <v/>
      </c>
    </row>
    <row r="287">
      <c r="A287" t="inlineStr">
        <is>
          <t>0038097008029</t>
        </is>
      </c>
      <c r="B287" t="inlineStr">
        <is>
          <t>Tweezerman Combo Clipper Set 2pcs Sets &amp; Coffrets</t>
        </is>
      </c>
      <c r="C287" t="inlineStr">
        <is>
          <t>Nail Clippers &amp; Tools</t>
        </is>
      </c>
      <c r="D287" t="inlineStr">
        <is>
          <t>Tweezerman</t>
        </is>
      </c>
      <c r="E287" t="n">
        <v>10.02</v>
      </c>
      <c r="F287" t="n">
        <v>1</v>
      </c>
      <c r="G287" t="n">
        <v>7</v>
      </c>
      <c r="H287" t="inlineStr">
        <is>
          <t>No</t>
        </is>
      </c>
      <c r="I287" t="inlineStr"/>
      <c r="J287" t="n">
        <v>1</v>
      </c>
      <c r="K287" t="n">
        <v>7</v>
      </c>
      <c r="L287" s="5">
        <f>HYPERLINK("https://api.qogita.com/variants/link/0038097008029/", "View Product")</f>
        <v/>
      </c>
    </row>
    <row r="288">
      <c r="A288" t="inlineStr">
        <is>
          <t>0038097020090</t>
        </is>
      </c>
      <c r="B288" t="inlineStr">
        <is>
          <t>Tweezerman Professional Black Nail Files</t>
        </is>
      </c>
      <c r="C288" t="inlineStr">
        <is>
          <t>Nail Clippers &amp; Tools</t>
        </is>
      </c>
      <c r="D288" t="inlineStr">
        <is>
          <t>Tweezerman</t>
        </is>
      </c>
      <c r="E288" t="n">
        <v>7.67</v>
      </c>
      <c r="F288" t="n">
        <v>1</v>
      </c>
      <c r="G288" t="n">
        <v>9</v>
      </c>
      <c r="H288" t="inlineStr">
        <is>
          <t>No</t>
        </is>
      </c>
      <c r="I288" t="inlineStr"/>
      <c r="J288" t="n">
        <v>1</v>
      </c>
      <c r="K288" t="n">
        <v>9</v>
      </c>
      <c r="L288" s="5">
        <f>HYPERLINK("https://api.qogita.com/variants/link/0038097020090/", "View Product")</f>
        <v/>
      </c>
    </row>
    <row r="289">
      <c r="A289" t="inlineStr">
        <is>
          <t>0038097308501</t>
        </is>
      </c>
      <c r="B289" t="inlineStr">
        <is>
          <t>Tweezerman Nail Clipper</t>
        </is>
      </c>
      <c r="C289" t="inlineStr">
        <is>
          <t>Nail Clippers &amp; Tools</t>
        </is>
      </c>
      <c r="D289" t="inlineStr">
        <is>
          <t>Tweezerman</t>
        </is>
      </c>
      <c r="E289" t="n">
        <v>5.97</v>
      </c>
      <c r="F289" t="n">
        <v>1</v>
      </c>
      <c r="G289" t="n">
        <v>22</v>
      </c>
      <c r="H289" t="inlineStr">
        <is>
          <t>No</t>
        </is>
      </c>
      <c r="I289" t="inlineStr"/>
      <c r="J289" t="n">
        <v>1</v>
      </c>
      <c r="K289" t="n">
        <v>22</v>
      </c>
      <c r="L289" s="5">
        <f>HYPERLINK("https://api.qogita.com/variants/link/0038097308501/", "View Product")</f>
        <v/>
      </c>
    </row>
    <row r="290">
      <c r="A290" t="inlineStr">
        <is>
          <t>0040232398001</t>
        </is>
      </c>
      <c r="B290" t="inlineStr">
        <is>
          <t>Famous Names Cb Dadi'oil Nail Cuticle Oil 14 3ml Blue 28wx32 3ml</t>
        </is>
      </c>
      <c r="C290" t="inlineStr">
        <is>
          <t>Nail Oil</t>
        </is>
      </c>
      <c r="D290" t="inlineStr">
        <is>
          <t>Famous Names</t>
        </is>
      </c>
      <c r="E290" t="n">
        <v>23.21</v>
      </c>
      <c r="F290" t="n">
        <v>1</v>
      </c>
      <c r="G290" t="n">
        <v>18</v>
      </c>
      <c r="H290" t="inlineStr">
        <is>
          <t>No</t>
        </is>
      </c>
      <c r="I290" t="inlineStr"/>
      <c r="J290" t="n">
        <v>1</v>
      </c>
      <c r="K290" t="n">
        <v>18</v>
      </c>
      <c r="L290" s="5">
        <f>HYPERLINK("https://api.qogita.com/variants/link/0040232398001/", "View Product")</f>
        <v/>
      </c>
    </row>
    <row r="291">
      <c r="A291" t="inlineStr">
        <is>
          <t>0040232398018</t>
        </is>
      </c>
      <c r="B291" t="inlineStr">
        <is>
          <t>Famous Names Cb Dadi'oil Nail Cuticle Oil 72ml</t>
        </is>
      </c>
      <c r="C291" t="inlineStr">
        <is>
          <t>Nail Oil</t>
        </is>
      </c>
      <c r="D291" t="inlineStr">
        <is>
          <t>Famous Names</t>
        </is>
      </c>
      <c r="E291" t="n">
        <v>88.3</v>
      </c>
      <c r="F291" t="n">
        <v>1</v>
      </c>
      <c r="G291" t="n">
        <v>5</v>
      </c>
      <c r="H291" t="inlineStr">
        <is>
          <t>No</t>
        </is>
      </c>
      <c r="I291" t="inlineStr"/>
      <c r="J291" t="n">
        <v>1</v>
      </c>
      <c r="K291" t="n">
        <v>5</v>
      </c>
      <c r="L291" s="5">
        <f>HYPERLINK("https://api.qogita.com/variants/link/0040232398018/", "View Product")</f>
        <v/>
      </c>
    </row>
    <row r="292">
      <c r="A292" t="inlineStr">
        <is>
          <t>0061982812777</t>
        </is>
      </c>
      <c r="B292" t="inlineStr">
        <is>
          <t>OPI ProSpa Nail &amp; Cuticle Oil 14.8ml</t>
        </is>
      </c>
      <c r="C292" t="inlineStr">
        <is>
          <t>Nail Oil</t>
        </is>
      </c>
      <c r="D292" t="inlineStr">
        <is>
          <t>OPI</t>
        </is>
      </c>
      <c r="E292" t="n">
        <v>17.1</v>
      </c>
      <c r="F292" t="n">
        <v>1</v>
      </c>
      <c r="G292" t="n">
        <v>11</v>
      </c>
      <c r="H292" t="inlineStr">
        <is>
          <t>No</t>
        </is>
      </c>
      <c r="I292" t="inlineStr"/>
      <c r="J292" t="n">
        <v>1</v>
      </c>
      <c r="K292" t="n">
        <v>11</v>
      </c>
      <c r="L292" s="5">
        <f>HYPERLINK("https://api.qogita.com/variants/link/0061982812777/", "View Product")</f>
        <v/>
      </c>
    </row>
    <row r="293">
      <c r="A293" t="inlineStr">
        <is>
          <t>0639370012346</t>
        </is>
      </c>
      <c r="B293" t="inlineStr">
        <is>
          <t>CND Odorless Sculpting Liquid 118ml</t>
        </is>
      </c>
      <c r="C293" t="inlineStr">
        <is>
          <t>Nail Care</t>
        </is>
      </c>
      <c r="D293" t="inlineStr">
        <is>
          <t>Cnd</t>
        </is>
      </c>
      <c r="E293" t="n">
        <v>39.75</v>
      </c>
      <c r="F293" t="n">
        <v>1</v>
      </c>
      <c r="G293" t="n">
        <v>5</v>
      </c>
      <c r="H293" t="inlineStr">
        <is>
          <t>No</t>
        </is>
      </c>
      <c r="I293" t="inlineStr"/>
      <c r="J293" t="n">
        <v>1</v>
      </c>
      <c r="K293" t="n">
        <v>5</v>
      </c>
      <c r="L293" s="5">
        <f>HYPERLINK("https://api.qogita.com/variants/link/0639370012346/", "View Product")</f>
        <v/>
      </c>
    </row>
    <row r="294">
      <c r="A294" t="inlineStr">
        <is>
          <t>0639370017778</t>
        </is>
      </c>
      <c r="B294" t="inlineStr">
        <is>
          <t>CND Lightning Oil - Lightning-Fast Absorption &amp; Hydration for Nail &amp; Cuticle Care</t>
        </is>
      </c>
      <c r="C294" t="inlineStr">
        <is>
          <t>Nail Care</t>
        </is>
      </c>
      <c r="D294" t="inlineStr">
        <is>
          <t>Cnd</t>
        </is>
      </c>
      <c r="E294" t="n">
        <v>6.58</v>
      </c>
      <c r="F294" t="n">
        <v>1</v>
      </c>
      <c r="G294" t="n">
        <v>15</v>
      </c>
      <c r="H294" t="inlineStr">
        <is>
          <t>No</t>
        </is>
      </c>
      <c r="I294" t="inlineStr"/>
      <c r="J294" t="n">
        <v>1</v>
      </c>
      <c r="K294" t="n">
        <v>15</v>
      </c>
      <c r="L294" s="5">
        <f>HYPERLINK("https://api.qogita.com/variants/link/0639370017778/", "View Product")</f>
        <v/>
      </c>
    </row>
    <row r="295">
      <c r="A295" t="inlineStr">
        <is>
          <t>0639370023090</t>
        </is>
      </c>
      <c r="B295" t="inlineStr">
        <is>
          <t>CND Retention+ Manicure Liquid 8 fl oz 236ml</t>
        </is>
      </c>
      <c r="C295" t="inlineStr">
        <is>
          <t>Nail Care</t>
        </is>
      </c>
      <c r="D295" t="inlineStr">
        <is>
          <t>Cnd</t>
        </is>
      </c>
      <c r="E295" t="n">
        <v>45.06</v>
      </c>
      <c r="F295" t="n">
        <v>1</v>
      </c>
      <c r="G295" t="n">
        <v>9</v>
      </c>
      <c r="H295" t="inlineStr">
        <is>
          <t>No</t>
        </is>
      </c>
      <c r="I295" t="inlineStr"/>
      <c r="J295" t="n">
        <v>1</v>
      </c>
      <c r="K295" t="n">
        <v>9</v>
      </c>
      <c r="L295" s="5">
        <f>HYPERLINK("https://api.qogita.com/variants/link/0639370023090/", "View Product")</f>
        <v/>
      </c>
    </row>
    <row r="296">
      <c r="A296" t="inlineStr">
        <is>
          <t>0639370023113</t>
        </is>
      </c>
      <c r="B296" t="inlineStr">
        <is>
          <t>CND Retention+ Manicure Liquid 16 fl oz 473 ml</t>
        </is>
      </c>
      <c r="C296" t="inlineStr">
        <is>
          <t>Nail Care</t>
        </is>
      </c>
      <c r="D296" t="inlineStr">
        <is>
          <t>Cnd</t>
        </is>
      </c>
      <c r="E296" t="n">
        <v>70.91</v>
      </c>
      <c r="F296" t="n">
        <v>1</v>
      </c>
      <c r="G296" t="n">
        <v>7</v>
      </c>
      <c r="H296" t="inlineStr">
        <is>
          <t>No</t>
        </is>
      </c>
      <c r="I296" t="inlineStr"/>
      <c r="J296" t="n">
        <v>1</v>
      </c>
      <c r="K296" t="n">
        <v>7</v>
      </c>
      <c r="L296" s="5">
        <f>HYPERLINK("https://api.qogita.com/variants/link/0639370023113/", "View Product")</f>
        <v/>
      </c>
    </row>
    <row r="297">
      <c r="A297" t="inlineStr">
        <is>
          <t>0639370037516</t>
        </is>
      </c>
      <c r="B297" t="inlineStr">
        <is>
          <t>CND Retention+ Sculpting Powder 32 oz</t>
        </is>
      </c>
      <c r="C297" t="inlineStr">
        <is>
          <t>Nail Care</t>
        </is>
      </c>
      <c r="D297" t="inlineStr">
        <is>
          <t>Cnd</t>
        </is>
      </c>
      <c r="E297" t="n">
        <v>228.84</v>
      </c>
      <c r="F297" t="n">
        <v>1</v>
      </c>
      <c r="G297" t="n">
        <v>9</v>
      </c>
      <c r="H297" t="inlineStr">
        <is>
          <t>No</t>
        </is>
      </c>
      <c r="I297" t="inlineStr"/>
      <c r="J297" t="n">
        <v>1</v>
      </c>
      <c r="K297" t="n">
        <v>9</v>
      </c>
      <c r="L297" s="5">
        <f>HYPERLINK("https://api.qogita.com/variants/link/0639370037516/", "View Product")</f>
        <v/>
      </c>
    </row>
    <row r="298">
      <c r="A298" t="inlineStr">
        <is>
          <t>0639370130071</t>
        </is>
      </c>
      <c r="B298" t="inlineStr">
        <is>
          <t>CND Treatments Solar Oil Nail Polish 118ml</t>
        </is>
      </c>
      <c r="C298" t="inlineStr">
        <is>
          <t>Nail Oil</t>
        </is>
      </c>
      <c r="D298" t="inlineStr">
        <is>
          <t>Cnd</t>
        </is>
      </c>
      <c r="E298" t="n">
        <v>36.79</v>
      </c>
      <c r="F298" t="n">
        <v>1</v>
      </c>
      <c r="G298" t="n">
        <v>9</v>
      </c>
      <c r="H298" t="inlineStr">
        <is>
          <t>No</t>
        </is>
      </c>
      <c r="I298" t="inlineStr"/>
      <c r="J298" t="n">
        <v>1</v>
      </c>
      <c r="K298" t="n">
        <v>9</v>
      </c>
      <c r="L298" s="5">
        <f>HYPERLINK("https://api.qogita.com/variants/link/0639370130071/", "View Product")</f>
        <v/>
      </c>
    </row>
    <row r="299">
      <c r="A299" t="inlineStr">
        <is>
          <t>0639370130163</t>
        </is>
      </c>
      <c r="B299" t="inlineStr">
        <is>
          <t>Creative Nail Design Solar Oil Nail and Cuticle Conditioner 7.3ml</t>
        </is>
      </c>
      <c r="C299" t="inlineStr">
        <is>
          <t>Nail Oil</t>
        </is>
      </c>
      <c r="D299" t="inlineStr">
        <is>
          <t>Cnd</t>
        </is>
      </c>
      <c r="E299" t="n">
        <v>6.52</v>
      </c>
      <c r="F299" t="n">
        <v>1</v>
      </c>
      <c r="G299" t="n">
        <v>87</v>
      </c>
      <c r="H299" t="inlineStr">
        <is>
          <t>No</t>
        </is>
      </c>
      <c r="I299" t="inlineStr"/>
      <c r="J299" t="n">
        <v>1</v>
      </c>
      <c r="K299" t="n">
        <v>87</v>
      </c>
      <c r="L299" s="5">
        <f>HYPERLINK("https://api.qogita.com/variants/link/0639370130163/", "View Product")</f>
        <v/>
      </c>
    </row>
    <row r="300">
      <c r="A300" t="inlineStr">
        <is>
          <t>0639370130187</t>
        </is>
      </c>
      <c r="B300" t="inlineStr">
        <is>
          <t>CND Solar Oil Nail Oil Cabinet 68ml</t>
        </is>
      </c>
      <c r="C300" t="inlineStr">
        <is>
          <t>Nail Oil</t>
        </is>
      </c>
      <c r="D300" t="inlineStr">
        <is>
          <t>Cnd</t>
        </is>
      </c>
      <c r="E300" t="n">
        <v>25.58</v>
      </c>
      <c r="F300" t="n">
        <v>1</v>
      </c>
      <c r="G300" t="n">
        <v>4</v>
      </c>
      <c r="H300" t="inlineStr">
        <is>
          <t>No</t>
        </is>
      </c>
      <c r="I300" t="inlineStr"/>
      <c r="J300" t="n">
        <v>1</v>
      </c>
      <c r="K300" t="n">
        <v>4</v>
      </c>
      <c r="L300" s="5">
        <f>HYPERLINK("https://api.qogita.com/variants/link/0639370130187/", "View Product")</f>
        <v/>
      </c>
    </row>
    <row r="301">
      <c r="A301" t="inlineStr">
        <is>
          <t>0639370908557</t>
        </is>
      </c>
      <c r="B301" t="inlineStr">
        <is>
          <t>CND RescueRXx Intensive Daily Keratin Cuticle Treatment Oil 3.7ml</t>
        </is>
      </c>
      <c r="C301" t="inlineStr">
        <is>
          <t>Nail Oil</t>
        </is>
      </c>
      <c r="D301" t="inlineStr">
        <is>
          <t>Cnd</t>
        </is>
      </c>
      <c r="E301" t="n">
        <v>3.06</v>
      </c>
      <c r="F301" t="n">
        <v>1</v>
      </c>
      <c r="G301" t="n">
        <v>224</v>
      </c>
      <c r="H301" t="inlineStr">
        <is>
          <t>No</t>
        </is>
      </c>
      <c r="I301" t="inlineStr"/>
      <c r="J301" t="n">
        <v>2</v>
      </c>
      <c r="K301" t="n">
        <v>234</v>
      </c>
      <c r="L301" s="5">
        <f>HYPERLINK("https://api.qogita.com/variants/link/0639370908557/", "View Product")</f>
        <v/>
      </c>
    </row>
    <row r="302">
      <c r="A302" t="inlineStr">
        <is>
          <t>0639370913247</t>
        </is>
      </c>
      <c r="B302" t="inlineStr">
        <is>
          <t>CND Cuticle Eraser 15g</t>
        </is>
      </c>
      <c r="C302" t="inlineStr">
        <is>
          <t>Cuticle Removers</t>
        </is>
      </c>
      <c r="D302" t="inlineStr">
        <is>
          <t>Cnd</t>
        </is>
      </c>
      <c r="E302" t="n">
        <v>5.59</v>
      </c>
      <c r="F302" t="n">
        <v>1</v>
      </c>
      <c r="G302" t="n">
        <v>11</v>
      </c>
      <c r="H302" t="inlineStr">
        <is>
          <t>No</t>
        </is>
      </c>
      <c r="I302" t="inlineStr"/>
      <c r="J302" t="n">
        <v>1</v>
      </c>
      <c r="K302" t="n">
        <v>11</v>
      </c>
      <c r="L302" s="5">
        <f>HYPERLINK("https://api.qogita.com/variants/link/0639370913247/", "View Product")</f>
        <v/>
      </c>
    </row>
    <row r="303">
      <c r="A303" t="inlineStr">
        <is>
          <t>0639370922331</t>
        </is>
      </c>
      <c r="B303" t="inlineStr">
        <is>
          <t>CND Essentials Care Pen Solar Oil 2.5ml</t>
        </is>
      </c>
      <c r="C303" t="inlineStr">
        <is>
          <t>Nail Oil</t>
        </is>
      </c>
      <c r="D303" t="inlineStr">
        <is>
          <t>Cnd</t>
        </is>
      </c>
      <c r="E303" t="n">
        <v>9.029999999999999</v>
      </c>
      <c r="F303" t="n">
        <v>1</v>
      </c>
      <c r="G303" t="n">
        <v>9</v>
      </c>
      <c r="H303" t="inlineStr">
        <is>
          <t>No</t>
        </is>
      </c>
      <c r="I303" t="inlineStr"/>
      <c r="J303" t="n">
        <v>1</v>
      </c>
      <c r="K303" t="n">
        <v>9</v>
      </c>
      <c r="L303" s="5">
        <f>HYPERLINK("https://api.qogita.com/variants/link/0639370922331/", "View Product")</f>
        <v/>
      </c>
    </row>
    <row r="304">
      <c r="A304" t="inlineStr">
        <is>
          <t>0639370922348</t>
        </is>
      </c>
      <c r="B304" t="inlineStr">
        <is>
          <t>CND RescueRXX Care Pen 2.5ml</t>
        </is>
      </c>
      <c r="C304" t="inlineStr">
        <is>
          <t>Cuticle Removers</t>
        </is>
      </c>
      <c r="D304" t="inlineStr">
        <is>
          <t>Cnd</t>
        </is>
      </c>
      <c r="E304" t="n">
        <v>6.93</v>
      </c>
      <c r="F304" t="n">
        <v>1</v>
      </c>
      <c r="G304" t="n">
        <v>14</v>
      </c>
      <c r="H304" t="inlineStr">
        <is>
          <t>No</t>
        </is>
      </c>
      <c r="I304" t="inlineStr"/>
      <c r="J304" t="n">
        <v>1</v>
      </c>
      <c r="K304" t="n">
        <v>14</v>
      </c>
      <c r="L304" s="5">
        <f>HYPERLINK("https://api.qogita.com/variants/link/0639370922348/", "View Product")</f>
        <v/>
      </c>
    </row>
    <row r="305">
      <c r="A305" t="inlineStr">
        <is>
          <t>0639370922416</t>
        </is>
      </c>
      <c r="B305" t="inlineStr">
        <is>
          <t>CND Solar Oil Nail and Cuticle Treatment for Women 0.125 Oz</t>
        </is>
      </c>
      <c r="C305" t="inlineStr">
        <is>
          <t>Nail Oil</t>
        </is>
      </c>
      <c r="D305" t="inlineStr">
        <is>
          <t>Cnd</t>
        </is>
      </c>
      <c r="E305" t="n">
        <v>1.61</v>
      </c>
      <c r="F305" t="n">
        <v>1</v>
      </c>
      <c r="G305" t="n">
        <v>62</v>
      </c>
      <c r="H305" t="inlineStr">
        <is>
          <t>No</t>
        </is>
      </c>
      <c r="I305" t="inlineStr"/>
      <c r="J305" t="n">
        <v>1</v>
      </c>
      <c r="K305" t="n">
        <v>62</v>
      </c>
      <c r="L305" s="5">
        <f>HYPERLINK("https://api.qogita.com/variants/link/0639370922416/", "View Product")</f>
        <v/>
      </c>
    </row>
    <row r="306">
      <c r="A306" t="inlineStr">
        <is>
          <t>0713708523107</t>
        </is>
      </c>
      <c r="B306" t="inlineStr">
        <is>
          <t>Petal Fresh Professional Spa Manicure &amp; Pedicure Set Mandarin Mango 4 Piece Kit</t>
        </is>
      </c>
      <c r="C306" t="inlineStr">
        <is>
          <t>Manicure Sets</t>
        </is>
      </c>
      <c r="D306" t="inlineStr">
        <is>
          <t>Petal Fresh</t>
        </is>
      </c>
      <c r="E306" t="n">
        <v>3.57</v>
      </c>
      <c r="F306" t="n">
        <v>1</v>
      </c>
      <c r="G306" t="n">
        <v>8</v>
      </c>
      <c r="H306" t="inlineStr">
        <is>
          <t>No</t>
        </is>
      </c>
      <c r="I306" t="inlineStr"/>
      <c r="J306" t="n">
        <v>1</v>
      </c>
      <c r="K306" t="n">
        <v>8</v>
      </c>
      <c r="L306" s="5">
        <f>HYPERLINK("https://api.qogita.com/variants/link/0713708523107/", "View Product")</f>
        <v/>
      </c>
    </row>
    <row r="307">
      <c r="A307" t="inlineStr">
        <is>
          <t>0713708583002</t>
        </is>
      </c>
      <c r="B307" t="inlineStr">
        <is>
          <t>BCL SPA Nourishing Peptide Cuticle Oil with Green Tea 30ml</t>
        </is>
      </c>
      <c r="C307" t="inlineStr">
        <is>
          <t>Nail Oil</t>
        </is>
      </c>
      <c r="D307" t="inlineStr">
        <is>
          <t>Bcl Spa</t>
        </is>
      </c>
      <c r="E307" t="n">
        <v>5.28</v>
      </c>
      <c r="F307" t="n">
        <v>1</v>
      </c>
      <c r="G307" t="n">
        <v>2</v>
      </c>
      <c r="H307" t="inlineStr">
        <is>
          <t>No</t>
        </is>
      </c>
      <c r="I307" t="inlineStr"/>
      <c r="J307" t="n">
        <v>1</v>
      </c>
      <c r="K307" t="n">
        <v>2</v>
      </c>
      <c r="L307" s="5">
        <f>HYPERLINK("https://api.qogita.com/variants/link/0713708583002/", "View Product")</f>
        <v/>
      </c>
    </row>
    <row r="308">
      <c r="A308" t="inlineStr">
        <is>
          <t>0793573081537</t>
        </is>
      </c>
      <c r="B308" t="inlineStr">
        <is>
          <t>Dadi'Oil Nail Treatment 15ml</t>
        </is>
      </c>
      <c r="C308" t="inlineStr">
        <is>
          <t>Nail Oil</t>
        </is>
      </c>
      <c r="D308" t="inlineStr">
        <is>
          <t>Dadi'oil</t>
        </is>
      </c>
      <c r="E308" t="n">
        <v>11.65</v>
      </c>
      <c r="F308" t="n">
        <v>1</v>
      </c>
      <c r="G308" t="n">
        <v>13</v>
      </c>
      <c r="H308" t="inlineStr">
        <is>
          <t>No</t>
        </is>
      </c>
      <c r="I308" t="inlineStr"/>
      <c r="J308" t="n">
        <v>1</v>
      </c>
      <c r="K308" t="n">
        <v>13</v>
      </c>
      <c r="L308" s="5">
        <f>HYPERLINK("https://api.qogita.com/variants/link/0793573081537/", "View Product")</f>
        <v/>
      </c>
    </row>
    <row r="309">
      <c r="A309" t="inlineStr">
        <is>
          <t>0793573081544</t>
        </is>
      </c>
      <c r="B309" t="inlineStr">
        <is>
          <t>Dadi'Oil Nail Treatment Oil 72ml</t>
        </is>
      </c>
      <c r="C309" t="inlineStr">
        <is>
          <t>Nail Oil</t>
        </is>
      </c>
      <c r="D309" t="inlineStr">
        <is>
          <t>Dadi'oil</t>
        </is>
      </c>
      <c r="E309" t="n">
        <v>27.07</v>
      </c>
      <c r="F309" t="n">
        <v>1</v>
      </c>
      <c r="G309" t="n">
        <v>28</v>
      </c>
      <c r="H309" t="inlineStr">
        <is>
          <t>No</t>
        </is>
      </c>
      <c r="I309" t="inlineStr"/>
      <c r="J309" t="n">
        <v>1</v>
      </c>
      <c r="K309" t="n">
        <v>28</v>
      </c>
      <c r="L309" s="5">
        <f>HYPERLINK("https://api.qogita.com/variants/link/0793573081544/", "View Product")</f>
        <v/>
      </c>
    </row>
    <row r="310">
      <c r="A310" t="inlineStr">
        <is>
          <t>0793573947024</t>
        </is>
      </c>
      <c r="B310" t="inlineStr">
        <is>
          <t>Dadi'Oil Nail Treatment Oil 172ml</t>
        </is>
      </c>
      <c r="C310" t="inlineStr">
        <is>
          <t>Nail Oil</t>
        </is>
      </c>
      <c r="D310" t="inlineStr">
        <is>
          <t>Famous Names</t>
        </is>
      </c>
      <c r="E310" t="n">
        <v>58.1</v>
      </c>
      <c r="F310" t="n">
        <v>1</v>
      </c>
      <c r="G310" t="n">
        <v>6</v>
      </c>
      <c r="H310" t="inlineStr">
        <is>
          <t>No</t>
        </is>
      </c>
      <c r="I310" t="inlineStr"/>
      <c r="J310" t="n">
        <v>1</v>
      </c>
      <c r="K310" t="n">
        <v>6</v>
      </c>
      <c r="L310" s="5">
        <f>HYPERLINK("https://api.qogita.com/variants/link/0793573947024/", "View Product")</f>
        <v/>
      </c>
    </row>
    <row r="311">
      <c r="A311" t="inlineStr">
        <is>
          <t>1116084013665</t>
        </is>
      </c>
      <c r="B311" t="inlineStr">
        <is>
          <t>Bo.Nail Systems Dip - #017 Behind The Curtain - 25 Gr</t>
        </is>
      </c>
      <c r="C311" t="inlineStr">
        <is>
          <t>Nail Care</t>
        </is>
      </c>
      <c r="D311" t="inlineStr">
        <is>
          <t>Bo.Nail Systems</t>
        </is>
      </c>
      <c r="E311" t="n">
        <v>3.83</v>
      </c>
      <c r="F311" t="n">
        <v>1</v>
      </c>
      <c r="G311" t="n">
        <v>2</v>
      </c>
      <c r="H311" t="inlineStr">
        <is>
          <t>No</t>
        </is>
      </c>
      <c r="I311" t="inlineStr"/>
      <c r="J311" t="n">
        <v>1</v>
      </c>
      <c r="K311" t="n">
        <v>2</v>
      </c>
      <c r="L311" s="5">
        <f>HYPERLINK("https://api.qogita.com/variants/link/1116084013665/", "View Product")</f>
        <v/>
      </c>
    </row>
    <row r="312">
      <c r="A312" t="inlineStr">
        <is>
          <t>3584250062881</t>
        </is>
      </c>
      <c r="B312" t="inlineStr">
        <is>
          <t>Manicure Cushion</t>
        </is>
      </c>
      <c r="C312" t="inlineStr">
        <is>
          <t>Nail Care</t>
        </is>
      </c>
      <c r="D312" t="inlineStr">
        <is>
          <t>Sibel</t>
        </is>
      </c>
      <c r="E312" t="n">
        <v>6.3</v>
      </c>
      <c r="F312" t="n">
        <v>1</v>
      </c>
      <c r="G312" t="n">
        <v>4</v>
      </c>
      <c r="H312" t="inlineStr">
        <is>
          <t>No</t>
        </is>
      </c>
      <c r="I312" t="inlineStr"/>
      <c r="J312" t="n">
        <v>1</v>
      </c>
      <c r="K312" t="n">
        <v>4</v>
      </c>
      <c r="L312" s="5">
        <f>HYPERLINK("https://api.qogita.com/variants/link/3584250062881/", "View Product")</f>
        <v/>
      </c>
    </row>
    <row r="313">
      <c r="A313" t="inlineStr">
        <is>
          <t>3584250065899</t>
        </is>
      </c>
      <c r="B313" t="inlineStr">
        <is>
          <t>Sibel Nails Skin Tang with Closure Hook 12cm</t>
        </is>
      </c>
      <c r="C313" t="inlineStr">
        <is>
          <t>Nail Clippers &amp; Tools</t>
        </is>
      </c>
      <c r="D313" t="inlineStr">
        <is>
          <t>Sibel</t>
        </is>
      </c>
      <c r="E313" t="n">
        <v>20.76</v>
      </c>
      <c r="F313" t="n">
        <v>1</v>
      </c>
      <c r="G313" t="n">
        <v>3</v>
      </c>
      <c r="H313" t="inlineStr">
        <is>
          <t>No</t>
        </is>
      </c>
      <c r="I313" t="inlineStr"/>
      <c r="J313" t="n">
        <v>1</v>
      </c>
      <c r="K313" t="n">
        <v>3</v>
      </c>
      <c r="L313" s="5">
        <f>HYPERLINK("https://api.qogita.com/variants/link/3584250065899/", "View Product")</f>
        <v/>
      </c>
    </row>
    <row r="314">
      <c r="A314" t="inlineStr">
        <is>
          <t>4021609851059</t>
        </is>
      </c>
      <c r="B314" t="inlineStr">
        <is>
          <t>Kerasilk Specialists Cuticle Liquid Filler 125ml</t>
        </is>
      </c>
      <c r="C314" t="inlineStr">
        <is>
          <t>Cuticle Removers</t>
        </is>
      </c>
      <c r="D314" t="inlineStr">
        <is>
          <t>Kerasilk</t>
        </is>
      </c>
      <c r="E314" t="n">
        <v>17.37</v>
      </c>
      <c r="F314" t="n">
        <v>1</v>
      </c>
      <c r="G314" t="n">
        <v>6</v>
      </c>
      <c r="H314" t="inlineStr">
        <is>
          <t>No</t>
        </is>
      </c>
      <c r="I314" t="inlineStr"/>
      <c r="J314" t="n">
        <v>1</v>
      </c>
      <c r="K314" t="n">
        <v>6</v>
      </c>
      <c r="L314" s="5">
        <f>HYPERLINK("https://api.qogita.com/variants/link/4021609851059/", "View Product")</f>
        <v/>
      </c>
    </row>
    <row r="315">
      <c r="A315" t="inlineStr">
        <is>
          <t>4064665001143</t>
        </is>
      </c>
      <c r="B315" t="inlineStr">
        <is>
          <t>Opi Nature Strong Top Coat 15 Ml</t>
        </is>
      </c>
      <c r="C315" t="inlineStr">
        <is>
          <t>Nail Oil</t>
        </is>
      </c>
      <c r="D315" t="inlineStr">
        <is>
          <t>OPI</t>
        </is>
      </c>
      <c r="E315" t="n">
        <v>11.39</v>
      </c>
      <c r="F315" t="n">
        <v>1</v>
      </c>
      <c r="G315" t="n">
        <v>2</v>
      </c>
      <c r="H315" t="inlineStr">
        <is>
          <t>No</t>
        </is>
      </c>
      <c r="I315" t="inlineStr"/>
      <c r="J315" t="n">
        <v>2</v>
      </c>
      <c r="K315" t="n">
        <v>8</v>
      </c>
      <c r="L315" s="5">
        <f>HYPERLINK("https://api.qogita.com/variants/link/4064665001143/", "View Product")</f>
        <v/>
      </c>
    </row>
    <row r="316">
      <c r="A316" t="inlineStr">
        <is>
          <t>4064665093254</t>
        </is>
      </c>
      <c r="B316" t="inlineStr">
        <is>
          <t>Opi Nature Strong Base Coat 15ml Strengthening And Protective Base Coat</t>
        </is>
      </c>
      <c r="C316" t="inlineStr">
        <is>
          <t>Nail Care Sets</t>
        </is>
      </c>
      <c r="D316" t="inlineStr">
        <is>
          <t>OPI</t>
        </is>
      </c>
      <c r="E316" t="n">
        <v>9.44</v>
      </c>
      <c r="F316" t="n">
        <v>1</v>
      </c>
      <c r="G316" t="n">
        <v>3</v>
      </c>
      <c r="H316" t="inlineStr">
        <is>
          <t>No</t>
        </is>
      </c>
      <c r="I316" t="inlineStr"/>
      <c r="J316" t="n">
        <v>4</v>
      </c>
      <c r="K316" t="n">
        <v>18</v>
      </c>
      <c r="L316" s="5">
        <f>HYPERLINK("https://api.qogita.com/variants/link/4064665093254/", "View Product")</f>
        <v/>
      </c>
    </row>
    <row r="317">
      <c r="A317" t="inlineStr">
        <is>
          <t>4064665105575</t>
        </is>
      </c>
      <c r="B317" t="inlineStr">
        <is>
          <t>Opi Infinite Shine Gellike Lacquer 15 Ml</t>
        </is>
      </c>
      <c r="C317" t="inlineStr">
        <is>
          <t>Nail Care Sets</t>
        </is>
      </c>
      <c r="D317" t="inlineStr">
        <is>
          <t>OPI</t>
        </is>
      </c>
      <c r="E317" t="n">
        <v>12.39</v>
      </c>
      <c r="F317" t="n">
        <v>1</v>
      </c>
      <c r="G317" t="n">
        <v>3</v>
      </c>
      <c r="H317" t="inlineStr">
        <is>
          <t>No</t>
        </is>
      </c>
      <c r="I317" t="inlineStr"/>
      <c r="J317" t="n">
        <v>1</v>
      </c>
      <c r="K317" t="n">
        <v>3</v>
      </c>
      <c r="L317" s="5">
        <f>HYPERLINK("https://api.qogita.com/variants/link/4064665105575/", "View Product")</f>
        <v/>
      </c>
    </row>
    <row r="318">
      <c r="A318" t="inlineStr">
        <is>
          <t>4064665105582</t>
        </is>
      </c>
      <c r="B318" t="inlineStr">
        <is>
          <t>Opi Infinite Shine Gellike Lacquer Awe Night Long 15 Ml</t>
        </is>
      </c>
      <c r="C318" t="inlineStr">
        <is>
          <t>Nail Oil</t>
        </is>
      </c>
      <c r="D318" t="inlineStr">
        <is>
          <t>OPI</t>
        </is>
      </c>
      <c r="E318" t="n">
        <v>11.74</v>
      </c>
      <c r="F318" t="n">
        <v>1</v>
      </c>
      <c r="G318" t="n">
        <v>4</v>
      </c>
      <c r="H318" t="inlineStr">
        <is>
          <t>No</t>
        </is>
      </c>
      <c r="I318" t="inlineStr"/>
      <c r="J318" t="n">
        <v>1</v>
      </c>
      <c r="K318" t="n">
        <v>4</v>
      </c>
      <c r="L318" s="5">
        <f>HYPERLINK("https://api.qogita.com/variants/link/4064665105582/", "View Product")</f>
        <v/>
      </c>
    </row>
    <row r="319">
      <c r="A319" t="inlineStr">
        <is>
          <t>4064665105636</t>
        </is>
      </c>
      <c r="B319" t="inlineStr">
        <is>
          <t>Opi Infinite Shine Gellike Lacquer Lush Hour 15 Ml</t>
        </is>
      </c>
      <c r="C319" t="inlineStr">
        <is>
          <t>Nail Oil</t>
        </is>
      </c>
      <c r="D319" t="inlineStr">
        <is>
          <t>OPI</t>
        </is>
      </c>
      <c r="E319" t="n">
        <v>9.74</v>
      </c>
      <c r="F319" t="n">
        <v>1</v>
      </c>
      <c r="G319" t="n">
        <v>2</v>
      </c>
      <c r="H319" t="inlineStr">
        <is>
          <t>No</t>
        </is>
      </c>
      <c r="I319" t="inlineStr"/>
      <c r="J319" t="n">
        <v>2</v>
      </c>
      <c r="K319" t="n">
        <v>6</v>
      </c>
      <c r="L319" s="5">
        <f>HYPERLINK("https://api.qogita.com/variants/link/4064665105636/", "View Product")</f>
        <v/>
      </c>
    </row>
    <row r="320">
      <c r="A320" t="inlineStr">
        <is>
          <t>4064665105643</t>
        </is>
      </c>
      <c r="B320" t="inlineStr">
        <is>
          <t>Opi Infinite Shine Gellike Lacquer 15 Ml Endure And Allure</t>
        </is>
      </c>
      <c r="C320" t="inlineStr">
        <is>
          <t>Nail Oil</t>
        </is>
      </c>
      <c r="D320" t="inlineStr">
        <is>
          <t>OPI</t>
        </is>
      </c>
      <c r="E320" t="n">
        <v>9.140000000000001</v>
      </c>
      <c r="F320" t="n">
        <v>1</v>
      </c>
      <c r="G320" t="n">
        <v>1</v>
      </c>
      <c r="H320" t="inlineStr">
        <is>
          <t>No</t>
        </is>
      </c>
      <c r="I320" t="inlineStr"/>
      <c r="J320" t="n">
        <v>2</v>
      </c>
      <c r="K320" t="n">
        <v>6</v>
      </c>
      <c r="L320" s="5">
        <f>HYPERLINK("https://api.qogita.com/variants/link/4064665105643/", "View Product")</f>
        <v/>
      </c>
    </row>
    <row r="321">
      <c r="A321" t="inlineStr">
        <is>
          <t>4064665105650</t>
        </is>
      </c>
      <c r="B321" t="inlineStr">
        <is>
          <t>Opi Infinite Shine Gellike Lacquer 15 Ml In Mint Condition</t>
        </is>
      </c>
      <c r="C321" t="inlineStr">
        <is>
          <t>Nail Oil</t>
        </is>
      </c>
      <c r="D321" t="inlineStr">
        <is>
          <t>OPI</t>
        </is>
      </c>
      <c r="E321" t="n">
        <v>11.74</v>
      </c>
      <c r="F321" t="n">
        <v>1</v>
      </c>
      <c r="G321" t="n">
        <v>7</v>
      </c>
      <c r="H321" t="inlineStr">
        <is>
          <t>No</t>
        </is>
      </c>
      <c r="I321" t="inlineStr"/>
      <c r="J321" t="n">
        <v>1</v>
      </c>
      <c r="K321" t="n">
        <v>7</v>
      </c>
      <c r="L321" s="5">
        <f>HYPERLINK("https://api.qogita.com/variants/link/4064665105650/", "View Product")</f>
        <v/>
      </c>
    </row>
    <row r="322">
      <c r="A322" t="inlineStr">
        <is>
          <t>4064665105711</t>
        </is>
      </c>
      <c r="B322" t="inlineStr">
        <is>
          <t>Opi Infinite Shine Gellike Lacquer 15 Ml Dulce De Leche</t>
        </is>
      </c>
      <c r="C322" t="inlineStr">
        <is>
          <t>Nail Care Sets</t>
        </is>
      </c>
      <c r="D322" t="inlineStr">
        <is>
          <t>OPI</t>
        </is>
      </c>
      <c r="E322" t="n">
        <v>11.74</v>
      </c>
      <c r="F322" t="n">
        <v>1</v>
      </c>
      <c r="G322" t="n">
        <v>3</v>
      </c>
      <c r="H322" t="inlineStr">
        <is>
          <t>No</t>
        </is>
      </c>
      <c r="I322" t="inlineStr"/>
      <c r="J322" t="n">
        <v>1</v>
      </c>
      <c r="K322" t="n">
        <v>3</v>
      </c>
      <c r="L322" s="5">
        <f>HYPERLINK("https://api.qogita.com/variants/link/4064665105711/", "View Product")</f>
        <v/>
      </c>
    </row>
    <row r="323">
      <c r="A323" t="inlineStr">
        <is>
          <t>4064665105773</t>
        </is>
      </c>
      <c r="B323" t="inlineStr">
        <is>
          <t>Opi Infinite Shine Gellike Lacquer 15 Ml Passion</t>
        </is>
      </c>
      <c r="C323" t="inlineStr">
        <is>
          <t>Nail Oil</t>
        </is>
      </c>
      <c r="D323" t="inlineStr">
        <is>
          <t>OPI</t>
        </is>
      </c>
      <c r="E323" t="n">
        <v>12.39</v>
      </c>
      <c r="F323" t="n">
        <v>1</v>
      </c>
      <c r="G323" t="n">
        <v>12</v>
      </c>
      <c r="H323" t="inlineStr">
        <is>
          <t>No</t>
        </is>
      </c>
      <c r="I323" t="inlineStr"/>
      <c r="J323" t="n">
        <v>1</v>
      </c>
      <c r="K323" t="n">
        <v>12</v>
      </c>
      <c r="L323" s="5">
        <f>HYPERLINK("https://api.qogita.com/variants/link/4064665105773/", "View Product")</f>
        <v/>
      </c>
    </row>
    <row r="324">
      <c r="A324" t="inlineStr">
        <is>
          <t>4064665114737</t>
        </is>
      </c>
      <c r="B324" t="inlineStr">
        <is>
          <t>Opi Infinite Shine Gellike Lacquer 15 Ml Steel Waters Run Deep</t>
        </is>
      </c>
      <c r="C324" t="inlineStr">
        <is>
          <t>Nail Oil</t>
        </is>
      </c>
      <c r="D324" t="inlineStr">
        <is>
          <t>OPI</t>
        </is>
      </c>
      <c r="E324" t="n">
        <v>11.74</v>
      </c>
      <c r="F324" t="n">
        <v>1</v>
      </c>
      <c r="G324" t="n">
        <v>11</v>
      </c>
      <c r="H324" t="inlineStr">
        <is>
          <t>No</t>
        </is>
      </c>
      <c r="I324" t="inlineStr"/>
      <c r="J324" t="n">
        <v>1</v>
      </c>
      <c r="K324" t="n">
        <v>11</v>
      </c>
      <c r="L324" s="5">
        <f>HYPERLINK("https://api.qogita.com/variants/link/4064665114737/", "View Product")</f>
        <v/>
      </c>
    </row>
    <row r="325">
      <c r="A325" t="inlineStr">
        <is>
          <t>4064665114744</t>
        </is>
      </c>
      <c r="B325" t="inlineStr">
        <is>
          <t>Opi Infinite Shine Gellike Lacquer My Private Jet 15 Ml</t>
        </is>
      </c>
      <c r="C325" t="inlineStr">
        <is>
          <t>Nail Oil</t>
        </is>
      </c>
      <c r="D325" t="inlineStr">
        <is>
          <t>OPI</t>
        </is>
      </c>
      <c r="E325" t="n">
        <v>9.76</v>
      </c>
      <c r="F325" t="n">
        <v>1</v>
      </c>
      <c r="G325" t="n">
        <v>2</v>
      </c>
      <c r="H325" t="inlineStr">
        <is>
          <t>No</t>
        </is>
      </c>
      <c r="I325" t="inlineStr"/>
      <c r="J325" t="n">
        <v>2</v>
      </c>
      <c r="K325" t="n">
        <v>7</v>
      </c>
      <c r="L325" s="5">
        <f>HYPERLINK("https://api.qogita.com/variants/link/4064665114744/", "View Product")</f>
        <v/>
      </c>
    </row>
    <row r="326">
      <c r="A326" t="inlineStr">
        <is>
          <t>4064665114775</t>
        </is>
      </c>
      <c r="B326" t="inlineStr">
        <is>
          <t>Opi Infinite Shine Gellike Lacquer Funny Bunny 15 Ml</t>
        </is>
      </c>
      <c r="C326" t="inlineStr">
        <is>
          <t>Nail Oil</t>
        </is>
      </c>
      <c r="D326" t="inlineStr">
        <is>
          <t>OPI</t>
        </is>
      </c>
      <c r="E326" t="n">
        <v>12.39</v>
      </c>
      <c r="F326" t="n">
        <v>1</v>
      </c>
      <c r="G326" t="n">
        <v>5</v>
      </c>
      <c r="H326" t="inlineStr">
        <is>
          <t>No</t>
        </is>
      </c>
      <c r="I326" t="inlineStr"/>
      <c r="J326" t="n">
        <v>1</v>
      </c>
      <c r="K326" t="n">
        <v>5</v>
      </c>
      <c r="L326" s="5">
        <f>HYPERLINK("https://api.qogita.com/variants/link/4064665114775/", "View Product")</f>
        <v/>
      </c>
    </row>
    <row r="327">
      <c r="A327" t="inlineStr">
        <is>
          <t>4064665114867</t>
        </is>
      </c>
      <c r="B327" t="inlineStr">
        <is>
          <t>Opi Infinite Shine Gellike Lacquer 15 Ml</t>
        </is>
      </c>
      <c r="C327" t="inlineStr">
        <is>
          <t>Nail Care Sets</t>
        </is>
      </c>
      <c r="D327" t="inlineStr">
        <is>
          <t>OPI</t>
        </is>
      </c>
      <c r="E327" t="n">
        <v>11.74</v>
      </c>
      <c r="F327" t="n">
        <v>1</v>
      </c>
      <c r="G327" t="n">
        <v>3</v>
      </c>
      <c r="H327" t="inlineStr">
        <is>
          <t>No</t>
        </is>
      </c>
      <c r="I327" t="inlineStr"/>
      <c r="J327" t="n">
        <v>1</v>
      </c>
      <c r="K327" t="n">
        <v>3</v>
      </c>
      <c r="L327" s="5">
        <f>HYPERLINK("https://api.qogita.com/variants/link/4064665114867/", "View Product")</f>
        <v/>
      </c>
    </row>
    <row r="328">
      <c r="A328" t="inlineStr">
        <is>
          <t>4064665114911</t>
        </is>
      </c>
      <c r="B328" t="inlineStr">
        <is>
          <t>Opi Infinite Shine Gellike Lacquer 15 Ml</t>
        </is>
      </c>
      <c r="C328" t="inlineStr">
        <is>
          <t>Nail Care Sets</t>
        </is>
      </c>
      <c r="D328" t="inlineStr">
        <is>
          <t>OPI</t>
        </is>
      </c>
      <c r="E328" t="n">
        <v>12.39</v>
      </c>
      <c r="F328" t="n">
        <v>1</v>
      </c>
      <c r="G328" t="n">
        <v>4</v>
      </c>
      <c r="H328" t="inlineStr">
        <is>
          <t>No</t>
        </is>
      </c>
      <c r="I328" t="inlineStr"/>
      <c r="J328" t="n">
        <v>1</v>
      </c>
      <c r="K328" t="n">
        <v>4</v>
      </c>
      <c r="L328" s="5">
        <f>HYPERLINK("https://api.qogita.com/variants/link/4064665114911/", "View Product")</f>
        <v/>
      </c>
    </row>
    <row r="329">
      <c r="A329" t="inlineStr">
        <is>
          <t>4064665114928</t>
        </is>
      </c>
      <c r="B329" t="inlineStr">
        <is>
          <t>Opi Infinite Shine 1 Primer 15 Ml Gellike Base Coat</t>
        </is>
      </c>
      <c r="C329" t="inlineStr">
        <is>
          <t>Nail Care Sets</t>
        </is>
      </c>
      <c r="D329" t="inlineStr">
        <is>
          <t>OPI</t>
        </is>
      </c>
      <c r="E329" t="n">
        <v>12.39</v>
      </c>
      <c r="F329" t="n">
        <v>1</v>
      </c>
      <c r="G329" t="n">
        <v>4</v>
      </c>
      <c r="H329" t="inlineStr">
        <is>
          <t>No</t>
        </is>
      </c>
      <c r="I329" t="inlineStr"/>
      <c r="J329" t="n">
        <v>2</v>
      </c>
      <c r="K329" t="n">
        <v>6</v>
      </c>
      <c r="L329" s="5">
        <f>HYPERLINK("https://api.qogita.com/variants/link/4064665114928/", "View Product")</f>
        <v/>
      </c>
    </row>
    <row r="330">
      <c r="A330" t="inlineStr">
        <is>
          <t>4064665114935</t>
        </is>
      </c>
      <c r="B330" t="inlineStr">
        <is>
          <t>Opi Infinite Shine Gellike Top Coat 15 Ml</t>
        </is>
      </c>
      <c r="C330" t="inlineStr">
        <is>
          <t>Nail Oil</t>
        </is>
      </c>
      <c r="D330" t="inlineStr">
        <is>
          <t>OPI</t>
        </is>
      </c>
      <c r="E330" t="n">
        <v>11.68</v>
      </c>
      <c r="F330" t="n">
        <v>1</v>
      </c>
      <c r="G330" t="n">
        <v>1</v>
      </c>
      <c r="H330" t="inlineStr">
        <is>
          <t>No</t>
        </is>
      </c>
      <c r="I330" t="inlineStr"/>
      <c r="J330" t="n">
        <v>2</v>
      </c>
      <c r="K330" t="n">
        <v>15</v>
      </c>
      <c r="L330" s="5">
        <f>HYPERLINK("https://api.qogita.com/variants/link/4064665114935/", "View Product")</f>
        <v/>
      </c>
    </row>
    <row r="331">
      <c r="A331" t="inlineStr">
        <is>
          <t>4064665124637</t>
        </is>
      </c>
      <c r="B331" t="inlineStr">
        <is>
          <t>Opi Infinite Shine Gellike Lacquer Keep Calm Carry On 15 Ml</t>
        </is>
      </c>
      <c r="C331" t="inlineStr">
        <is>
          <t>Nail Oil</t>
        </is>
      </c>
      <c r="D331" t="inlineStr">
        <is>
          <t>OPI</t>
        </is>
      </c>
      <c r="E331" t="n">
        <v>11.74</v>
      </c>
      <c r="F331" t="n">
        <v>1</v>
      </c>
      <c r="G331" t="n">
        <v>6</v>
      </c>
      <c r="H331" t="inlineStr">
        <is>
          <t>No</t>
        </is>
      </c>
      <c r="I331" t="inlineStr"/>
      <c r="J331" t="n">
        <v>1</v>
      </c>
      <c r="K331" t="n">
        <v>6</v>
      </c>
      <c r="L331" s="5">
        <f>HYPERLINK("https://api.qogita.com/variants/link/4064665124637/", "View Product")</f>
        <v/>
      </c>
    </row>
    <row r="332">
      <c r="A332" t="inlineStr">
        <is>
          <t>4064665124644</t>
        </is>
      </c>
      <c r="B332" t="inlineStr">
        <is>
          <t>Opi Infinite Shine Gellike Lacquer 15 Ml</t>
        </is>
      </c>
      <c r="C332" t="inlineStr">
        <is>
          <t>Nail Care Sets</t>
        </is>
      </c>
      <c r="D332" t="inlineStr">
        <is>
          <t>OPI</t>
        </is>
      </c>
      <c r="E332" t="n">
        <v>11.74</v>
      </c>
      <c r="F332" t="n">
        <v>1</v>
      </c>
      <c r="G332" t="n">
        <v>10</v>
      </c>
      <c r="H332" t="inlineStr">
        <is>
          <t>No</t>
        </is>
      </c>
      <c r="I332" t="inlineStr"/>
      <c r="J332" t="n">
        <v>1</v>
      </c>
      <c r="K332" t="n">
        <v>10</v>
      </c>
      <c r="L332" s="5">
        <f>HYPERLINK("https://api.qogita.com/variants/link/4064665124644/", "View Product")</f>
        <v/>
      </c>
    </row>
    <row r="333">
      <c r="A333" t="inlineStr">
        <is>
          <t>4064665124675</t>
        </is>
      </c>
      <c r="B333" t="inlineStr">
        <is>
          <t>Opi Infinite Shine Gellike Lacquer 15 Ml</t>
        </is>
      </c>
      <c r="C333" t="inlineStr">
        <is>
          <t>Nail Oil</t>
        </is>
      </c>
      <c r="D333" t="inlineStr">
        <is>
          <t>OPI</t>
        </is>
      </c>
      <c r="E333" t="n">
        <v>12.39</v>
      </c>
      <c r="F333" t="n">
        <v>1</v>
      </c>
      <c r="G333" t="n">
        <v>8</v>
      </c>
      <c r="H333" t="inlineStr">
        <is>
          <t>No</t>
        </is>
      </c>
      <c r="I333" t="inlineStr"/>
      <c r="J333" t="n">
        <v>1</v>
      </c>
      <c r="K333" t="n">
        <v>8</v>
      </c>
      <c r="L333" s="5">
        <f>HYPERLINK("https://api.qogita.com/variants/link/4064665124675/", "View Product")</f>
        <v/>
      </c>
    </row>
    <row r="334">
      <c r="A334" t="inlineStr">
        <is>
          <t>4064665202618</t>
        </is>
      </c>
      <c r="B334" t="inlineStr">
        <is>
          <t>Opi Nail Envy Nail Strengthener 15 Ml Powerful Pink</t>
        </is>
      </c>
      <c r="C334" t="inlineStr">
        <is>
          <t>Nail Care Sets</t>
        </is>
      </c>
      <c r="D334" t="inlineStr">
        <is>
          <t>OPI</t>
        </is>
      </c>
      <c r="E334" t="n">
        <v>19.24</v>
      </c>
      <c r="F334" t="n">
        <v>1</v>
      </c>
      <c r="G334" t="n">
        <v>6</v>
      </c>
      <c r="H334" t="inlineStr">
        <is>
          <t>No</t>
        </is>
      </c>
      <c r="I334" t="inlineStr"/>
      <c r="J334" t="n">
        <v>1</v>
      </c>
      <c r="K334" t="n">
        <v>6</v>
      </c>
      <c r="L334" s="5">
        <f>HYPERLINK("https://api.qogita.com/variants/link/4064665202618/", "View Product")</f>
        <v/>
      </c>
    </row>
    <row r="335">
      <c r="A335" t="inlineStr">
        <is>
          <t>4064665202625</t>
        </is>
      </c>
      <c r="B335" t="inlineStr">
        <is>
          <t>Opi Repair Mode Nail Repair And Strengthening Serum 9ml</t>
        </is>
      </c>
      <c r="C335" t="inlineStr">
        <is>
          <t>Nail Oil</t>
        </is>
      </c>
      <c r="D335" t="inlineStr">
        <is>
          <t>OPI</t>
        </is>
      </c>
      <c r="E335" t="n">
        <v>18.04</v>
      </c>
      <c r="F335" t="n">
        <v>1</v>
      </c>
      <c r="G335" t="n">
        <v>1</v>
      </c>
      <c r="H335" t="inlineStr">
        <is>
          <t>No</t>
        </is>
      </c>
      <c r="I335" t="inlineStr"/>
      <c r="J335" t="n">
        <v>2</v>
      </c>
      <c r="K335" t="n">
        <v>19</v>
      </c>
      <c r="L335" s="5">
        <f>HYPERLINK("https://api.qogita.com/variants/link/4064665202625/", "View Product")</f>
        <v/>
      </c>
    </row>
    <row r="336">
      <c r="A336" t="inlineStr">
        <is>
          <t>4064665202656</t>
        </is>
      </c>
      <c r="B336" t="inlineStr">
        <is>
          <t>Opi Nail Envy Tough Luv Nail Treatment 15ml</t>
        </is>
      </c>
      <c r="C336" t="inlineStr">
        <is>
          <t>Nail Care Sets</t>
        </is>
      </c>
      <c r="D336" t="inlineStr">
        <is>
          <t>OPI</t>
        </is>
      </c>
      <c r="E336" t="n">
        <v>16.05</v>
      </c>
      <c r="F336" t="n">
        <v>1</v>
      </c>
      <c r="G336" t="n">
        <v>2</v>
      </c>
      <c r="H336" t="inlineStr">
        <is>
          <t>No</t>
        </is>
      </c>
      <c r="I336" t="inlineStr"/>
      <c r="J336" t="n">
        <v>2</v>
      </c>
      <c r="K336" t="n">
        <v>6</v>
      </c>
      <c r="L336" s="5">
        <f>HYPERLINK("https://api.qogita.com/variants/link/4064665202656/", "View Product")</f>
        <v/>
      </c>
    </row>
    <row r="337">
      <c r="A337" t="inlineStr">
        <is>
          <t>4064665202663</t>
        </is>
      </c>
      <c r="B337" t="inlineStr">
        <is>
          <t>Opi Nail Envy Nail Strengthener 15 Ml Alpine Snow</t>
        </is>
      </c>
      <c r="C337" t="inlineStr">
        <is>
          <t>Nail Care Sets</t>
        </is>
      </c>
      <c r="D337" t="inlineStr">
        <is>
          <t>OPI</t>
        </is>
      </c>
      <c r="E337" t="n">
        <v>15.53</v>
      </c>
      <c r="F337" t="n">
        <v>1</v>
      </c>
      <c r="G337" t="n">
        <v>2</v>
      </c>
      <c r="H337" t="inlineStr">
        <is>
          <t>No</t>
        </is>
      </c>
      <c r="I337" t="inlineStr"/>
      <c r="J337" t="n">
        <v>3</v>
      </c>
      <c r="K337" t="n">
        <v>6</v>
      </c>
      <c r="L337" s="5">
        <f>HYPERLINK("https://api.qogita.com/variants/link/4064665202663/", "View Product")</f>
        <v/>
      </c>
    </row>
    <row r="338">
      <c r="A338" t="inlineStr">
        <is>
          <t>4064665202694</t>
        </is>
      </c>
      <c r="B338" t="inlineStr">
        <is>
          <t>Opi Nail Envy Nail Strengthener Big Apple Red 15ml</t>
        </is>
      </c>
      <c r="C338" t="inlineStr">
        <is>
          <t>Nail Oil</t>
        </is>
      </c>
      <c r="D338" t="inlineStr">
        <is>
          <t>OPI</t>
        </is>
      </c>
      <c r="E338" t="n">
        <v>15.53</v>
      </c>
      <c r="F338" t="n">
        <v>1</v>
      </c>
      <c r="G338" t="n">
        <v>1</v>
      </c>
      <c r="H338" t="inlineStr">
        <is>
          <t>No</t>
        </is>
      </c>
      <c r="I338" t="inlineStr"/>
      <c r="J338" t="n">
        <v>3</v>
      </c>
      <c r="K338" t="n">
        <v>10</v>
      </c>
      <c r="L338" s="5">
        <f>HYPERLINK("https://api.qogita.com/variants/link/4064665202694/", "View Product")</f>
        <v/>
      </c>
    </row>
    <row r="339">
      <c r="A339" t="inlineStr">
        <is>
          <t>4064665205770</t>
        </is>
      </c>
      <c r="B339" t="inlineStr">
        <is>
          <t>Opi Rapidry Quick Drying Top Coat 15ml</t>
        </is>
      </c>
      <c r="C339" t="inlineStr">
        <is>
          <t>Nail Care Sets</t>
        </is>
      </c>
      <c r="D339" t="inlineStr">
        <is>
          <t>OPI</t>
        </is>
      </c>
      <c r="E339" t="n">
        <v>13.93</v>
      </c>
      <c r="F339" t="n">
        <v>1</v>
      </c>
      <c r="G339" t="n">
        <v>20</v>
      </c>
      <c r="H339" t="inlineStr">
        <is>
          <t>No</t>
        </is>
      </c>
      <c r="I339" t="inlineStr"/>
      <c r="J339" t="n">
        <v>2</v>
      </c>
      <c r="K339" t="n">
        <v>21</v>
      </c>
      <c r="L339" s="5">
        <f>HYPERLINK("https://api.qogita.com/variants/link/4064665205770/", "View Product")</f>
        <v/>
      </c>
    </row>
    <row r="340">
      <c r="A340" t="inlineStr">
        <is>
          <t>4064665205817</t>
        </is>
      </c>
      <c r="B340" t="inlineStr">
        <is>
          <t>Opi Nail Envy Nail Treatment Strengthener Bubble Bath 15ml</t>
        </is>
      </c>
      <c r="C340" t="inlineStr">
        <is>
          <t>Nail Care Sets</t>
        </is>
      </c>
      <c r="D340" t="inlineStr">
        <is>
          <t>OPI</t>
        </is>
      </c>
      <c r="E340" t="n">
        <v>15.53</v>
      </c>
      <c r="F340" t="n">
        <v>1</v>
      </c>
      <c r="G340" t="n">
        <v>1</v>
      </c>
      <c r="H340" t="inlineStr">
        <is>
          <t>No</t>
        </is>
      </c>
      <c r="I340" t="inlineStr"/>
      <c r="J340" t="n">
        <v>3</v>
      </c>
      <c r="K340" t="n">
        <v>9</v>
      </c>
      <c r="L340" s="5">
        <f>HYPERLINK("https://api.qogita.com/variants/link/4064665205817/", "View Product")</f>
        <v/>
      </c>
    </row>
    <row r="341">
      <c r="A341" t="inlineStr">
        <is>
          <t>4064665233452</t>
        </is>
      </c>
      <c r="B341" t="inlineStr">
        <is>
          <t>Nature Strong Skincare Night Oil For Nails And Cuticles 20 Ml</t>
        </is>
      </c>
      <c r="C341" t="inlineStr">
        <is>
          <t>Nail Oil</t>
        </is>
      </c>
      <c r="D341" t="inlineStr">
        <is>
          <t>Nature Strong</t>
        </is>
      </c>
      <c r="E341" t="n">
        <v>11.13</v>
      </c>
      <c r="F341" t="n">
        <v>1</v>
      </c>
      <c r="G341" t="n">
        <v>13</v>
      </c>
      <c r="H341" t="inlineStr">
        <is>
          <t>No</t>
        </is>
      </c>
      <c r="I341" t="inlineStr"/>
      <c r="J341" t="n">
        <v>2</v>
      </c>
      <c r="K341" t="n">
        <v>14</v>
      </c>
      <c r="L341" s="5">
        <f>HYPERLINK("https://api.qogita.com/variants/link/4064665233452/", "View Product")</f>
        <v/>
      </c>
    </row>
    <row r="342">
      <c r="A342" t="inlineStr">
        <is>
          <t>4064665233469</t>
        </is>
      </c>
      <c r="B342" t="inlineStr">
        <is>
          <t>Nature Strong Skincare Nail And Cuticle Oil 8 Ml</t>
        </is>
      </c>
      <c r="C342" t="inlineStr">
        <is>
          <t>Nail Oil</t>
        </is>
      </c>
      <c r="D342" t="inlineStr">
        <is>
          <t>Nature Strong</t>
        </is>
      </c>
      <c r="E342" t="n">
        <v>7.08</v>
      </c>
      <c r="F342" t="n">
        <v>1</v>
      </c>
      <c r="G342" t="n">
        <v>2</v>
      </c>
      <c r="H342" t="inlineStr">
        <is>
          <t>No</t>
        </is>
      </c>
      <c r="I342" t="inlineStr"/>
      <c r="J342" t="n">
        <v>2</v>
      </c>
      <c r="K342" t="n">
        <v>4</v>
      </c>
      <c r="L342" s="5">
        <f>HYPERLINK("https://api.qogita.com/variants/link/4064665233469/", "View Product")</f>
        <v/>
      </c>
    </row>
    <row r="343">
      <c r="A343" t="inlineStr">
        <is>
          <t>4064665233476</t>
        </is>
      </c>
      <c r="B343" t="inlineStr">
        <is>
          <t>Nature Strong Skincare Nail And Cuticle Oil 15 Ml</t>
        </is>
      </c>
      <c r="C343" t="inlineStr">
        <is>
          <t>Nail Oil</t>
        </is>
      </c>
      <c r="D343" t="inlineStr">
        <is>
          <t>Nature Strong</t>
        </is>
      </c>
      <c r="E343" t="n">
        <v>10.69</v>
      </c>
      <c r="F343" t="n">
        <v>1</v>
      </c>
      <c r="G343" t="n">
        <v>2</v>
      </c>
      <c r="H343" t="inlineStr">
        <is>
          <t>No</t>
        </is>
      </c>
      <c r="I343" t="inlineStr"/>
      <c r="J343" t="n">
        <v>2</v>
      </c>
      <c r="K343" t="n">
        <v>10</v>
      </c>
      <c r="L343" s="5">
        <f>HYPERLINK("https://api.qogita.com/variants/link/4064665233476/", "View Product")</f>
        <v/>
      </c>
    </row>
    <row r="344">
      <c r="A344" t="inlineStr">
        <is>
          <t>4064665233483</t>
        </is>
      </c>
      <c r="B344" t="inlineStr">
        <is>
          <t>Opi Nature Strong Skincare Glow Up Nail &amp; Cuticle Oil 30ml</t>
        </is>
      </c>
      <c r="C344" t="inlineStr">
        <is>
          <t>Nail Oil</t>
        </is>
      </c>
      <c r="D344" t="inlineStr">
        <is>
          <t>OPI</t>
        </is>
      </c>
      <c r="E344" t="n">
        <v>35.36</v>
      </c>
      <c r="F344" t="n">
        <v>1</v>
      </c>
      <c r="G344" t="n">
        <v>9</v>
      </c>
      <c r="H344" t="inlineStr">
        <is>
          <t>No</t>
        </is>
      </c>
      <c r="I344" t="inlineStr"/>
      <c r="J344" t="n">
        <v>1</v>
      </c>
      <c r="K344" t="n">
        <v>9</v>
      </c>
      <c r="L344" s="5">
        <f>HYPERLINK("https://api.qogita.com/variants/link/4064665233483/", "View Product")</f>
        <v/>
      </c>
    </row>
    <row r="345">
      <c r="A345" t="inlineStr">
        <is>
          <t>4064665233544</t>
        </is>
      </c>
      <c r="B345" t="inlineStr">
        <is>
          <t>Opi Opi Nature Strong Skincare Nail And Cuticle Serum 7ml</t>
        </is>
      </c>
      <c r="C345" t="inlineStr">
        <is>
          <t>Nail Oil</t>
        </is>
      </c>
      <c r="D345" t="inlineStr">
        <is>
          <t>OPI</t>
        </is>
      </c>
      <c r="E345" t="n">
        <v>10.83</v>
      </c>
      <c r="F345" t="n">
        <v>1</v>
      </c>
      <c r="G345" t="n">
        <v>5</v>
      </c>
      <c r="H345" t="inlineStr">
        <is>
          <t>No</t>
        </is>
      </c>
      <c r="I345" t="inlineStr"/>
      <c r="J345" t="n">
        <v>1</v>
      </c>
      <c r="K345" t="n">
        <v>5</v>
      </c>
      <c r="L345" s="5">
        <f>HYPERLINK("https://api.qogita.com/variants/link/4064665233544/", "View Product")</f>
        <v/>
      </c>
    </row>
    <row r="346">
      <c r="A346" t="inlineStr">
        <is>
          <t>4820241060108</t>
        </is>
      </c>
      <c r="B346" t="inlineStr">
        <is>
          <t>Staleks Cuticle Pusher Rectangular and Rounded Smart PS 70</t>
        </is>
      </c>
      <c r="C346" t="inlineStr">
        <is>
          <t>Cuticle Removers</t>
        </is>
      </c>
      <c r="D346" t="inlineStr">
        <is>
          <t>Staleks</t>
        </is>
      </c>
      <c r="E346" t="n">
        <v>8.77</v>
      </c>
      <c r="F346" t="n">
        <v>1</v>
      </c>
      <c r="G346" t="n">
        <v>4</v>
      </c>
      <c r="H346" t="inlineStr">
        <is>
          <t>No</t>
        </is>
      </c>
      <c r="I346" t="inlineStr"/>
      <c r="J346" t="n">
        <v>1</v>
      </c>
      <c r="K346" t="n">
        <v>4</v>
      </c>
      <c r="L346" s="5">
        <f>HYPERLINK("https://api.qogita.com/variants/link/4820241060108/", "View Product")</f>
        <v/>
      </c>
    </row>
    <row r="347">
      <c r="A347" t="inlineStr">
        <is>
          <t>5412058118234</t>
        </is>
      </c>
      <c r="B347" t="inlineStr">
        <is>
          <t>Nail Clippers 14cm Pro</t>
        </is>
      </c>
      <c r="C347" t="inlineStr">
        <is>
          <t>Nail Clippers &amp; Tools</t>
        </is>
      </c>
      <c r="D347" t="inlineStr">
        <is>
          <t>Sibel</t>
        </is>
      </c>
      <c r="E347" t="n">
        <v>19.25</v>
      </c>
      <c r="F347" t="n">
        <v>1</v>
      </c>
      <c r="G347" t="n">
        <v>8</v>
      </c>
      <c r="H347" t="inlineStr">
        <is>
          <t>No</t>
        </is>
      </c>
      <c r="I347" t="inlineStr"/>
      <c r="J347" t="n">
        <v>1</v>
      </c>
      <c r="K347" t="n">
        <v>8</v>
      </c>
      <c r="L347" s="5">
        <f>HYPERLINK("https://api.qogita.com/variants/link/5412058118234/", "View Product")</f>
        <v/>
      </c>
    </row>
    <row r="348">
      <c r="A348" t="inlineStr">
        <is>
          <t>5412058145827</t>
        </is>
      </c>
      <c r="B348" t="inlineStr">
        <is>
          <t>Sibel Bud-Shaped Milling Machine for Artificial Nails</t>
        </is>
      </c>
      <c r="C348" t="inlineStr">
        <is>
          <t>Nail Care</t>
        </is>
      </c>
      <c r="D348" t="inlineStr">
        <is>
          <t>Sibel</t>
        </is>
      </c>
      <c r="E348" t="n">
        <v>1.62</v>
      </c>
      <c r="F348" t="n">
        <v>1</v>
      </c>
      <c r="G348" t="n">
        <v>15</v>
      </c>
      <c r="H348" t="inlineStr">
        <is>
          <t>No</t>
        </is>
      </c>
      <c r="I348" t="inlineStr"/>
      <c r="J348" t="n">
        <v>1</v>
      </c>
      <c r="K348" t="n">
        <v>15</v>
      </c>
      <c r="L348" s="5">
        <f>HYPERLINK("https://api.qogita.com/variants/link/5412058145827/", "View Product")</f>
        <v/>
      </c>
    </row>
    <row r="349">
      <c r="A349" t="inlineStr">
        <is>
          <t>5412058145834</t>
        </is>
      </c>
      <c r="B349" t="inlineStr">
        <is>
          <t>Sibel Pear-shaped Manicure Drill - Silver</t>
        </is>
      </c>
      <c r="C349" t="inlineStr">
        <is>
          <t>Manicure Sets</t>
        </is>
      </c>
      <c r="D349" t="inlineStr">
        <is>
          <t>Sibel</t>
        </is>
      </c>
      <c r="E349" t="n">
        <v>1.62</v>
      </c>
      <c r="F349" t="n">
        <v>1</v>
      </c>
      <c r="G349" t="n">
        <v>10</v>
      </c>
      <c r="H349" t="inlineStr">
        <is>
          <t>No</t>
        </is>
      </c>
      <c r="I349" t="inlineStr"/>
      <c r="J349" t="n">
        <v>1</v>
      </c>
      <c r="K349" t="n">
        <v>10</v>
      </c>
      <c r="L349" s="5">
        <f>HYPERLINK("https://api.qogita.com/variants/link/5412058145834/", "View Product")</f>
        <v/>
      </c>
    </row>
    <row r="350">
      <c r="A350" t="inlineStr">
        <is>
          <t>5412058145841</t>
        </is>
      </c>
      <c r="B350" t="inlineStr">
        <is>
          <t>Sibel Polishing Cutter for Nail Surface</t>
        </is>
      </c>
      <c r="C350" t="inlineStr">
        <is>
          <t>Nail Care</t>
        </is>
      </c>
      <c r="D350" t="inlineStr">
        <is>
          <t>Sibel</t>
        </is>
      </c>
      <c r="E350" t="n">
        <v>1.53</v>
      </c>
      <c r="F350" t="n">
        <v>1</v>
      </c>
      <c r="G350" t="n">
        <v>29</v>
      </c>
      <c r="H350" t="inlineStr">
        <is>
          <t>No</t>
        </is>
      </c>
      <c r="I350" t="inlineStr"/>
      <c r="J350" t="n">
        <v>1</v>
      </c>
      <c r="K350" t="n">
        <v>29</v>
      </c>
      <c r="L350" s="5">
        <f>HYPERLINK("https://api.qogita.com/variants/link/5412058145841/", "View Product")</f>
        <v/>
      </c>
    </row>
    <row r="351">
      <c r="A351" t="inlineStr">
        <is>
          <t>5412058146374</t>
        </is>
      </c>
      <c r="B351" t="inlineStr">
        <is>
          <t>Sibel Nails Pedicure Nail Clippers 13 cm</t>
        </is>
      </c>
      <c r="C351" t="inlineStr">
        <is>
          <t>Nail Clippers &amp; Tools</t>
        </is>
      </c>
      <c r="D351" t="inlineStr">
        <is>
          <t>Sibel</t>
        </is>
      </c>
      <c r="E351" t="n">
        <v>37.49</v>
      </c>
      <c r="F351" t="n">
        <v>1</v>
      </c>
      <c r="G351" t="n">
        <v>4</v>
      </c>
      <c r="H351" t="inlineStr">
        <is>
          <t>No</t>
        </is>
      </c>
      <c r="I351" t="inlineStr"/>
      <c r="J351" t="n">
        <v>1</v>
      </c>
      <c r="K351" t="n">
        <v>4</v>
      </c>
      <c r="L351" s="5">
        <f>HYPERLINK("https://api.qogita.com/variants/link/5412058146374/", "View Product")</f>
        <v/>
      </c>
    </row>
    <row r="352">
      <c r="A352" t="inlineStr">
        <is>
          <t>8436001980980</t>
        </is>
      </c>
      <c r="B352" t="inlineStr">
        <is>
          <t>Skeyndor Cuticle Oils 75ml</t>
        </is>
      </c>
      <c r="C352" t="inlineStr">
        <is>
          <t>Nail Oil</t>
        </is>
      </c>
      <c r="D352" t="inlineStr">
        <is>
          <t>Skeyndor</t>
        </is>
      </c>
      <c r="E352" t="n">
        <v>16.16</v>
      </c>
      <c r="F352" t="n">
        <v>1</v>
      </c>
      <c r="G352" t="n">
        <v>5</v>
      </c>
      <c r="H352" t="inlineStr">
        <is>
          <t>No</t>
        </is>
      </c>
      <c r="I352" t="inlineStr"/>
      <c r="J352" t="n">
        <v>1</v>
      </c>
      <c r="K352" t="n">
        <v>5</v>
      </c>
      <c r="L352" s="5">
        <f>HYPERLINK("https://api.qogita.com/variants/link/8436001980980/", "View Product")</f>
        <v/>
      </c>
    </row>
    <row r="353">
      <c r="A353" t="inlineStr">
        <is>
          <t>8720627902311</t>
        </is>
      </c>
      <c r="B353" t="inlineStr">
        <is>
          <t>Nail Perfect #153 Jade</t>
        </is>
      </c>
      <c r="C353" t="inlineStr">
        <is>
          <t>Nail Care</t>
        </is>
      </c>
      <c r="D353" t="inlineStr">
        <is>
          <t>Upvoted</t>
        </is>
      </c>
      <c r="E353" t="n">
        <v>5</v>
      </c>
      <c r="F353" t="n">
        <v>1</v>
      </c>
      <c r="G353" t="n">
        <v>4</v>
      </c>
      <c r="H353" t="inlineStr">
        <is>
          <t>No</t>
        </is>
      </c>
      <c r="I353" t="inlineStr"/>
      <c r="J353" t="n">
        <v>1</v>
      </c>
      <c r="K353" t="n">
        <v>4</v>
      </c>
      <c r="L353" s="5">
        <f>HYPERLINK("https://api.qogita.com/variants/link/8720627902311/", "View Product")</f>
        <v/>
      </c>
    </row>
    <row r="354">
      <c r="A354" t="inlineStr">
        <is>
          <t>8720627909327</t>
        </is>
      </c>
      <c r="B354" t="inlineStr">
        <is>
          <t>NailPerfect Halfmoon Files 100/100</t>
        </is>
      </c>
      <c r="C354" t="inlineStr">
        <is>
          <t>Nail Clippers &amp; Tools</t>
        </is>
      </c>
      <c r="D354" t="inlineStr">
        <is>
          <t>Nailperfect</t>
        </is>
      </c>
      <c r="E354" t="n">
        <v>0.72</v>
      </c>
      <c r="F354" t="n">
        <v>1</v>
      </c>
      <c r="G354" t="n">
        <v>17</v>
      </c>
      <c r="H354" t="inlineStr">
        <is>
          <t>No</t>
        </is>
      </c>
      <c r="I354" t="inlineStr"/>
      <c r="J354" t="n">
        <v>1</v>
      </c>
      <c r="K354" t="n">
        <v>17</v>
      </c>
      <c r="L354" s="5">
        <f>HYPERLINK("https://api.qogita.com/variants/link/8720627909327/", "View Product")</f>
        <v/>
      </c>
    </row>
    <row r="355">
      <c r="A355" t="inlineStr">
        <is>
          <t>8720627909334</t>
        </is>
      </c>
      <c r="B355" t="inlineStr">
        <is>
          <t>NailPerfect Halfmoon Files 150/150</t>
        </is>
      </c>
      <c r="C355" t="inlineStr">
        <is>
          <t>Nail Clippers &amp; Tools</t>
        </is>
      </c>
      <c r="D355" t="inlineStr">
        <is>
          <t>Nailperfect</t>
        </is>
      </c>
      <c r="E355" t="n">
        <v>0.76</v>
      </c>
      <c r="F355" t="n">
        <v>1</v>
      </c>
      <c r="G355" t="n">
        <v>36</v>
      </c>
      <c r="H355" t="inlineStr">
        <is>
          <t>No</t>
        </is>
      </c>
      <c r="I355" t="inlineStr"/>
      <c r="J355" t="n">
        <v>1</v>
      </c>
      <c r="K355" t="n">
        <v>36</v>
      </c>
      <c r="L355" s="5">
        <f>HYPERLINK("https://api.qogita.com/variants/link/8720627909334/", "View Product")</f>
        <v/>
      </c>
    </row>
    <row r="356">
      <c r="A356" t="inlineStr">
        <is>
          <t>8720627909341</t>
        </is>
      </c>
      <c r="B356" t="inlineStr">
        <is>
          <t>NailPerfect Halfmoon 180/180 Files</t>
        </is>
      </c>
      <c r="C356" t="inlineStr">
        <is>
          <t>Nail Care</t>
        </is>
      </c>
      <c r="D356" t="inlineStr">
        <is>
          <t>Nailperfect</t>
        </is>
      </c>
      <c r="E356" t="n">
        <v>0.72</v>
      </c>
      <c r="F356" t="n">
        <v>1</v>
      </c>
      <c r="G356" t="n">
        <v>27</v>
      </c>
      <c r="H356" t="inlineStr">
        <is>
          <t>No</t>
        </is>
      </c>
      <c r="I356" t="inlineStr"/>
      <c r="J356" t="n">
        <v>1</v>
      </c>
      <c r="K356" t="n">
        <v>27</v>
      </c>
      <c r="L356" s="5">
        <f>HYPERLINK("https://api.qogita.com/variants/link/8720627909341/", "View Product")</f>
        <v/>
      </c>
    </row>
    <row r="357">
      <c r="A357" t="inlineStr">
        <is>
          <t>8720627909358</t>
        </is>
      </c>
      <c r="B357" t="inlineStr">
        <is>
          <t>NailPerfect Halfmoon Files 100/180</t>
        </is>
      </c>
      <c r="C357" t="inlineStr">
        <is>
          <t>Nail Care</t>
        </is>
      </c>
      <c r="D357" t="inlineStr">
        <is>
          <t>Nailperfect</t>
        </is>
      </c>
      <c r="E357" t="n">
        <v>0.76</v>
      </c>
      <c r="F357" t="n">
        <v>1</v>
      </c>
      <c r="G357" t="n">
        <v>38</v>
      </c>
      <c r="H357" t="inlineStr">
        <is>
          <t>No</t>
        </is>
      </c>
      <c r="I357" t="inlineStr"/>
      <c r="J357" t="n">
        <v>1</v>
      </c>
      <c r="K357" t="n">
        <v>38</v>
      </c>
      <c r="L357" s="5">
        <f>HYPERLINK("https://api.qogita.com/variants/link/8720627909358/", "View Product")</f>
        <v/>
      </c>
    </row>
    <row r="358">
      <c r="A358" t="inlineStr">
        <is>
          <t>8720627909419</t>
        </is>
      </c>
      <c r="B358" t="inlineStr">
        <is>
          <t>NailPerfect Miracle Shiner Jumbo Round 600/4000</t>
        </is>
      </c>
      <c r="C358" t="inlineStr">
        <is>
          <t>Nail Care</t>
        </is>
      </c>
      <c r="D358" t="inlineStr">
        <is>
          <t>Nailperfect</t>
        </is>
      </c>
      <c r="E358" t="n">
        <v>0.76</v>
      </c>
      <c r="F358" t="n">
        <v>1</v>
      </c>
      <c r="G358" t="n">
        <v>3</v>
      </c>
      <c r="H358" t="inlineStr">
        <is>
          <t>No</t>
        </is>
      </c>
      <c r="I358" t="inlineStr"/>
      <c r="J358" t="n">
        <v>1</v>
      </c>
      <c r="K358" t="n">
        <v>3</v>
      </c>
      <c r="L358" s="5">
        <f>HYPERLINK("https://api.qogita.com/variants/link/8720627909419/", "View Product")</f>
        <v/>
      </c>
    </row>
    <row r="359">
      <c r="A359" t="inlineStr">
        <is>
          <t>8720627910316</t>
        </is>
      </c>
      <c r="B359" t="inlineStr">
        <is>
          <t>Nail Perfect Twistlock Pump Menda 250ml</t>
        </is>
      </c>
      <c r="C359" t="inlineStr">
        <is>
          <t>Nail Care</t>
        </is>
      </c>
      <c r="D359" t="inlineStr">
        <is>
          <t>Nail Perfect</t>
        </is>
      </c>
      <c r="E359" t="n">
        <v>1.91</v>
      </c>
      <c r="F359" t="n">
        <v>1</v>
      </c>
      <c r="G359" t="n">
        <v>7</v>
      </c>
      <c r="H359" t="inlineStr">
        <is>
          <t>No</t>
        </is>
      </c>
      <c r="I359" t="inlineStr"/>
      <c r="J359" t="n">
        <v>1</v>
      </c>
      <c r="K359" t="n">
        <v>7</v>
      </c>
      <c r="L359" s="5">
        <f>HYPERLINK("https://api.qogita.com/variants/link/8720627910316/", "View Product")</f>
        <v/>
      </c>
    </row>
    <row r="360">
      <c r="A360" t="inlineStr">
        <is>
          <t>8720627910668</t>
        </is>
      </c>
      <c r="B360" t="inlineStr">
        <is>
          <t>Nail Perfect Cuticle Nipper</t>
        </is>
      </c>
      <c r="C360" t="inlineStr">
        <is>
          <t>Cuticle Removers</t>
        </is>
      </c>
      <c r="D360" t="inlineStr">
        <is>
          <t>Nail Perfect</t>
        </is>
      </c>
      <c r="E360" t="n">
        <v>4.3</v>
      </c>
      <c r="F360" t="n">
        <v>1</v>
      </c>
      <c r="G360" t="n">
        <v>7</v>
      </c>
      <c r="H360" t="inlineStr">
        <is>
          <t>No</t>
        </is>
      </c>
      <c r="I360" t="inlineStr"/>
      <c r="J360" t="n">
        <v>1</v>
      </c>
      <c r="K360" t="n">
        <v>7</v>
      </c>
      <c r="L360" s="5">
        <f>HYPERLINK("https://api.qogita.com/variants/link/8720627910668/", "View Product")</f>
        <v/>
      </c>
    </row>
    <row r="361">
      <c r="A361" t="inlineStr">
        <is>
          <t>8720627910675</t>
        </is>
      </c>
      <c r="B361" t="inlineStr">
        <is>
          <t>Nail Perfect Spatula</t>
        </is>
      </c>
      <c r="C361" t="inlineStr">
        <is>
          <t>Nail Care</t>
        </is>
      </c>
      <c r="D361" t="inlineStr">
        <is>
          <t>Nail Perfect</t>
        </is>
      </c>
      <c r="E361" t="n">
        <v>4.08</v>
      </c>
      <c r="F361" t="n">
        <v>1</v>
      </c>
      <c r="G361" t="n">
        <v>4</v>
      </c>
      <c r="H361" t="inlineStr">
        <is>
          <t>No</t>
        </is>
      </c>
      <c r="I361" t="inlineStr"/>
      <c r="J361" t="n">
        <v>1</v>
      </c>
      <c r="K361" t="n">
        <v>4</v>
      </c>
      <c r="L361" s="5">
        <f>HYPERLINK("https://api.qogita.com/variants/link/8720627910675/", "View Product")</f>
        <v/>
      </c>
    </row>
    <row r="362">
      <c r="A362" t="inlineStr">
        <is>
          <t>8720627910682</t>
        </is>
      </c>
      <c r="B362" t="inlineStr">
        <is>
          <t>NailPerfect C-Curve Tweezer</t>
        </is>
      </c>
      <c r="C362" t="inlineStr">
        <is>
          <t>Nail Clippers &amp; Tools</t>
        </is>
      </c>
      <c r="D362" t="inlineStr">
        <is>
          <t>Nail Perfect</t>
        </is>
      </c>
      <c r="E362" t="n">
        <v>4.3</v>
      </c>
      <c r="F362" t="n">
        <v>1</v>
      </c>
      <c r="G362" t="n">
        <v>10</v>
      </c>
      <c r="H362" t="inlineStr">
        <is>
          <t>No</t>
        </is>
      </c>
      <c r="I362" t="inlineStr"/>
      <c r="J362" t="n">
        <v>1</v>
      </c>
      <c r="K362" t="n">
        <v>10</v>
      </c>
      <c r="L362" s="5">
        <f>HYPERLINK("https://api.qogita.com/variants/link/8720627910682/", "View Product")</f>
        <v/>
      </c>
    </row>
    <row r="363">
      <c r="A363" t="inlineStr">
        <is>
          <t>8720627910699</t>
        </is>
      </c>
      <c r="B363" t="inlineStr">
        <is>
          <t>NailPerfect Scissors for Cuticle Care - Black</t>
        </is>
      </c>
      <c r="C363" t="inlineStr">
        <is>
          <t>Cuticle Removers</t>
        </is>
      </c>
      <c r="D363" t="inlineStr">
        <is>
          <t>Nailperfect</t>
        </is>
      </c>
      <c r="E363" t="n">
        <v>4.3</v>
      </c>
      <c r="F363" t="n">
        <v>1</v>
      </c>
      <c r="G363" t="n">
        <v>8</v>
      </c>
      <c r="H363" t="inlineStr">
        <is>
          <t>No</t>
        </is>
      </c>
      <c r="I363" t="inlineStr"/>
      <c r="J363" t="n">
        <v>1</v>
      </c>
      <c r="K363" t="n">
        <v>8</v>
      </c>
      <c r="L363" s="5">
        <f>HYPERLINK("https://api.qogita.com/variants/link/8720627910699/", "View Product")</f>
        <v/>
      </c>
    </row>
    <row r="364">
      <c r="A364" t="inlineStr">
        <is>
          <t>8720627910705</t>
        </is>
      </c>
      <c r="B364" t="inlineStr">
        <is>
          <t>Nail Perfect Cuticle Pusher - Essential Nail Care Tool</t>
        </is>
      </c>
      <c r="C364" t="inlineStr">
        <is>
          <t>Cuticle Removers</t>
        </is>
      </c>
      <c r="D364" t="inlineStr">
        <is>
          <t>Nail Perfect</t>
        </is>
      </c>
      <c r="E364" t="n">
        <v>4.08</v>
      </c>
      <c r="F364" t="n">
        <v>1</v>
      </c>
      <c r="G364" t="n">
        <v>21</v>
      </c>
      <c r="H364" t="inlineStr">
        <is>
          <t>No</t>
        </is>
      </c>
      <c r="I364" t="inlineStr"/>
      <c r="J364" t="n">
        <v>1</v>
      </c>
      <c r="K364" t="n">
        <v>21</v>
      </c>
      <c r="L364" s="5">
        <f>HYPERLINK("https://api.qogita.com/variants/link/8720627910705/", "View Product")</f>
        <v/>
      </c>
    </row>
    <row r="365">
      <c r="A365" t="inlineStr">
        <is>
          <t>8720627910712</t>
        </is>
      </c>
      <c r="B365" t="inlineStr">
        <is>
          <t>Nail Perfect Tip Cutter</t>
        </is>
      </c>
      <c r="C365" t="inlineStr">
        <is>
          <t>Nail Clippers &amp; Tools</t>
        </is>
      </c>
      <c r="D365" t="inlineStr">
        <is>
          <t>Nail Perfect</t>
        </is>
      </c>
      <c r="E365" t="n">
        <v>4.3</v>
      </c>
      <c r="F365" t="n">
        <v>1</v>
      </c>
      <c r="G365" t="n">
        <v>4</v>
      </c>
      <c r="H365" t="inlineStr">
        <is>
          <t>No</t>
        </is>
      </c>
      <c r="I365" t="inlineStr"/>
      <c r="J365" t="n">
        <v>1</v>
      </c>
      <c r="K365" t="n">
        <v>4</v>
      </c>
      <c r="L365" s="5">
        <f>HYPERLINK("https://api.qogita.com/variants/link/8720627910712/", "View Product")</f>
        <v/>
      </c>
    </row>
    <row r="366">
      <c r="A366" t="inlineStr">
        <is>
          <t>8720627911016</t>
        </is>
      </c>
      <c r="B366" t="inlineStr">
        <is>
          <t>Nail Perfect Dual Forms Almond 120 Pieces</t>
        </is>
      </c>
      <c r="C366" t="inlineStr">
        <is>
          <t>Nail Care</t>
        </is>
      </c>
      <c r="D366" t="inlineStr">
        <is>
          <t>Nail Perfect</t>
        </is>
      </c>
      <c r="E366" t="n">
        <v>4.68</v>
      </c>
      <c r="F366" t="n">
        <v>1</v>
      </c>
      <c r="G366" t="n">
        <v>3</v>
      </c>
      <c r="H366" t="inlineStr">
        <is>
          <t>No</t>
        </is>
      </c>
      <c r="I366" t="inlineStr"/>
      <c r="J366" t="n">
        <v>2</v>
      </c>
      <c r="K366" t="n">
        <v>4</v>
      </c>
      <c r="L366" s="5">
        <f>HYPERLINK("https://api.qogita.com/variants/link/8720627911016/", "View Product")</f>
        <v/>
      </c>
    </row>
    <row r="367">
      <c r="A367" t="inlineStr">
        <is>
          <t>8720627911030</t>
        </is>
      </c>
      <c r="B367" t="inlineStr">
        <is>
          <t>Nail Perfect Dual Forms Modern Almond 120 Pieces</t>
        </is>
      </c>
      <c r="C367" t="inlineStr">
        <is>
          <t>Nail Care</t>
        </is>
      </c>
      <c r="D367" t="inlineStr">
        <is>
          <t>Nail Perfect</t>
        </is>
      </c>
      <c r="E367" t="n">
        <v>4.44</v>
      </c>
      <c r="F367" t="n">
        <v>1</v>
      </c>
      <c r="G367" t="n">
        <v>11</v>
      </c>
      <c r="H367" t="inlineStr">
        <is>
          <t>No</t>
        </is>
      </c>
      <c r="I367" t="inlineStr"/>
      <c r="J367" t="n">
        <v>1</v>
      </c>
      <c r="K367" t="n">
        <v>11</v>
      </c>
      <c r="L367" s="5">
        <f>HYPERLINK("https://api.qogita.com/variants/link/8720627911030/", "View Product")</f>
        <v/>
      </c>
    </row>
    <row r="368">
      <c r="A368" t="inlineStr">
        <is>
          <t>8720627922357</t>
        </is>
      </c>
      <c r="B368" t="inlineStr">
        <is>
          <t>Upvoted Rubber Up Yara 15ml</t>
        </is>
      </c>
      <c r="C368" t="inlineStr">
        <is>
          <t>Nail Oil</t>
        </is>
      </c>
      <c r="D368" t="inlineStr">
        <is>
          <t>Ledaily</t>
        </is>
      </c>
      <c r="E368" t="n">
        <v>5.86</v>
      </c>
      <c r="F368" t="n">
        <v>1</v>
      </c>
      <c r="G368" t="n">
        <v>12</v>
      </c>
      <c r="H368" t="inlineStr">
        <is>
          <t>No</t>
        </is>
      </c>
      <c r="I368" t="inlineStr"/>
      <c r="J368" t="n">
        <v>2</v>
      </c>
      <c r="K368" t="n">
        <v>15</v>
      </c>
      <c r="L368" s="5">
        <f>HYPERLINK("https://api.qogita.com/variants/link/8720627922357/", "View Product")</f>
        <v/>
      </c>
    </row>
    <row r="369">
      <c r="A369" t="inlineStr">
        <is>
          <t>8785284390666</t>
        </is>
      </c>
      <c r="B369" t="inlineStr">
        <is>
          <t>CND Cellulose Wipes 2 Rolls of 500 Pieces Each</t>
        </is>
      </c>
      <c r="C369" t="inlineStr">
        <is>
          <t>Cuticle Removers</t>
        </is>
      </c>
      <c r="D369" t="inlineStr">
        <is>
          <t>Cnd</t>
        </is>
      </c>
      <c r="E369" t="n">
        <v>6.98</v>
      </c>
      <c r="F369" t="n">
        <v>1</v>
      </c>
      <c r="G369" t="n">
        <v>8</v>
      </c>
      <c r="H369" t="inlineStr">
        <is>
          <t>No</t>
        </is>
      </c>
      <c r="I369" t="inlineStr"/>
      <c r="J369" t="n">
        <v>1</v>
      </c>
      <c r="K369" t="n">
        <v>8</v>
      </c>
      <c r="L369" s="5">
        <f>HYPERLINK("https://api.qogita.com/variants/link/8785284390666/", "View Product")</f>
        <v/>
      </c>
    </row>
    <row r="370">
      <c r="A370" t="inlineStr">
        <is>
          <t>0000080748625</t>
        </is>
      </c>
      <c r="B370" t="inlineStr">
        <is>
          <t>Clarissa Love Cuticle Remover 60ml</t>
        </is>
      </c>
      <c r="C370" t="inlineStr">
        <is>
          <t>Cuticle Removers</t>
        </is>
      </c>
      <c r="D370" t="inlineStr">
        <is>
          <t>Clarissa</t>
        </is>
      </c>
      <c r="E370" t="n">
        <v>3.53</v>
      </c>
      <c r="F370" t="n">
        <v>1</v>
      </c>
      <c r="G370" t="n">
        <v>3</v>
      </c>
      <c r="H370" t="inlineStr">
        <is>
          <t>No</t>
        </is>
      </c>
      <c r="I370" t="inlineStr"/>
      <c r="J370" t="n">
        <v>1</v>
      </c>
      <c r="K370" t="n">
        <v>3</v>
      </c>
      <c r="L370" s="5">
        <f>HYPERLINK("https://api.qogita.com/variants/link/0000080748625/", "View Product")</f>
        <v/>
      </c>
    </row>
    <row r="371">
      <c r="A371" t="inlineStr">
        <is>
          <t>0079245246603</t>
        </is>
      </c>
      <c r="B371" t="inlineStr">
        <is>
          <t>Orly Clean Prep 16oz 473ml</t>
        </is>
      </c>
      <c r="C371" t="inlineStr">
        <is>
          <t>Cuticle Removers</t>
        </is>
      </c>
      <c r="D371" t="inlineStr">
        <is>
          <t>Orly</t>
        </is>
      </c>
      <c r="E371" t="n">
        <v>17.19</v>
      </c>
      <c r="F371" t="n">
        <v>1</v>
      </c>
      <c r="G371" t="n">
        <v>2</v>
      </c>
      <c r="H371" t="inlineStr">
        <is>
          <t>No</t>
        </is>
      </c>
      <c r="I371" t="inlineStr"/>
      <c r="J371" t="n">
        <v>1</v>
      </c>
      <c r="K371" t="n">
        <v>2</v>
      </c>
      <c r="L371" s="5">
        <f>HYPERLINK("https://api.qogita.com/variants/link/0079245246603/", "View Product")</f>
        <v/>
      </c>
    </row>
    <row r="372">
      <c r="A372" t="inlineStr">
        <is>
          <t>0079245246900</t>
        </is>
      </c>
      <c r="B372" t="inlineStr">
        <is>
          <t>Orly Fungus Md Cuticle Care 06 Ounce</t>
        </is>
      </c>
      <c r="C372" t="inlineStr">
        <is>
          <t>Cuticle Removers</t>
        </is>
      </c>
      <c r="D372" t="inlineStr">
        <is>
          <t>Orly</t>
        </is>
      </c>
      <c r="E372" t="n">
        <v>14.2</v>
      </c>
      <c r="F372" t="n">
        <v>1</v>
      </c>
      <c r="G372" t="n">
        <v>2</v>
      </c>
      <c r="H372" t="inlineStr">
        <is>
          <t>No</t>
        </is>
      </c>
      <c r="I372" t="inlineStr"/>
      <c r="J372" t="n">
        <v>1</v>
      </c>
      <c r="K372" t="n">
        <v>2</v>
      </c>
      <c r="L372" s="5">
        <f>HYPERLINK("https://api.qogita.com/variants/link/0079245246900/", "View Product")</f>
        <v/>
      </c>
    </row>
    <row r="373">
      <c r="A373" t="inlineStr">
        <is>
          <t>0079245335031</t>
        </is>
      </c>
      <c r="B373" t="inlineStr">
        <is>
          <t>Orly Zebra File 180 Grit Nail File 5 Pieces</t>
        </is>
      </c>
      <c r="C373" t="inlineStr">
        <is>
          <t>Nail Care Sets</t>
        </is>
      </c>
      <c r="D373" t="inlineStr">
        <is>
          <t>Orly</t>
        </is>
      </c>
      <c r="E373" t="n">
        <v>13.19</v>
      </c>
      <c r="F373" t="n">
        <v>1</v>
      </c>
      <c r="G373" t="n">
        <v>3</v>
      </c>
      <c r="H373" t="inlineStr">
        <is>
          <t>No</t>
        </is>
      </c>
      <c r="I373" t="inlineStr"/>
      <c r="J373" t="n">
        <v>1</v>
      </c>
      <c r="K373" t="n">
        <v>3</v>
      </c>
      <c r="L373" s="5">
        <f>HYPERLINK("https://api.qogita.com/variants/link/0079245335031/", "View Product")</f>
        <v/>
      </c>
    </row>
    <row r="374">
      <c r="A374" t="inlineStr">
        <is>
          <t>2000000002101</t>
        </is>
      </c>
      <c r="B374" t="inlineStr">
        <is>
          <t>Beauty Service Nail Tattoo</t>
        </is>
      </c>
      <c r="C374" t="inlineStr">
        <is>
          <t>Nail Care</t>
        </is>
      </c>
      <c r="D374" t="inlineStr">
        <is>
          <t>Beauty Service</t>
        </is>
      </c>
      <c r="E374" t="n">
        <v>0.49</v>
      </c>
      <c r="F374" t="n">
        <v>1</v>
      </c>
      <c r="G374" t="n">
        <v>67</v>
      </c>
      <c r="H374" t="inlineStr">
        <is>
          <t>No</t>
        </is>
      </c>
      <c r="I374" t="inlineStr"/>
      <c r="J374" t="n">
        <v>1</v>
      </c>
      <c r="K374" t="n">
        <v>67</v>
      </c>
      <c r="L374" s="5">
        <f>HYPERLINK("https://api.qogita.com/variants/link/2000000002101/", "View Product")</f>
        <v/>
      </c>
    </row>
    <row r="375">
      <c r="A375" t="inlineStr">
        <is>
          <t>4820121590398</t>
        </is>
      </c>
      <c r="B375" t="inlineStr">
        <is>
          <t>Kl 00 Professional Cuticle Nippers with Staleks Necklace Leather Case 11cm</t>
        </is>
      </c>
      <c r="C375" t="inlineStr">
        <is>
          <t>Nail Clippers &amp; Tools</t>
        </is>
      </c>
      <c r="D375" t="inlineStr">
        <is>
          <t>Staleks</t>
        </is>
      </c>
      <c r="E375" t="n">
        <v>16.66</v>
      </c>
      <c r="F375" t="n">
        <v>1</v>
      </c>
      <c r="G375" t="n">
        <v>1</v>
      </c>
      <c r="H375" t="inlineStr">
        <is>
          <t>No</t>
        </is>
      </c>
      <c r="I375" t="inlineStr"/>
      <c r="J375" t="n">
        <v>1</v>
      </c>
      <c r="K375" t="n">
        <v>1</v>
      </c>
      <c r="L375" s="5">
        <f>HYPERLINK("https://api.qogita.com/variants/link/4820121590398/", "View Product")</f>
        <v/>
      </c>
    </row>
    <row r="376">
      <c r="A376" t="inlineStr">
        <is>
          <t>4820121590404</t>
        </is>
      </c>
      <c r="B376" t="inlineStr">
        <is>
          <t>Staleks Professional Ingrown Nail Nippers Expert 61 16 Mm</t>
        </is>
      </c>
      <c r="C376" t="inlineStr">
        <is>
          <t>Nail Clippers &amp; Tools</t>
        </is>
      </c>
      <c r="D376" t="inlineStr">
        <is>
          <t>Staleks</t>
        </is>
      </c>
      <c r="E376" t="n">
        <v>16.19</v>
      </c>
      <c r="F376" t="n">
        <v>1</v>
      </c>
      <c r="G376" t="n">
        <v>3</v>
      </c>
      <c r="H376" t="inlineStr">
        <is>
          <t>No</t>
        </is>
      </c>
      <c r="I376" t="inlineStr"/>
      <c r="J376" t="n">
        <v>1</v>
      </c>
      <c r="K376" t="n">
        <v>3</v>
      </c>
      <c r="L376" s="5">
        <f>HYPERLINK("https://api.qogita.com/variants/link/4820121590404/", "View Product")</f>
        <v/>
      </c>
    </row>
    <row r="377">
      <c r="A377" t="inlineStr">
        <is>
          <t>4820121590572</t>
        </is>
      </c>
      <c r="B377" t="inlineStr">
        <is>
          <t>STALEKS Pedicure Expert 20 Type 1 Pusher</t>
        </is>
      </c>
      <c r="C377" t="inlineStr">
        <is>
          <t>Nail Clippers &amp; Tools</t>
        </is>
      </c>
      <c r="D377" t="inlineStr">
        <is>
          <t>Staleks</t>
        </is>
      </c>
      <c r="E377" t="n">
        <v>3.94</v>
      </c>
      <c r="F377" t="n">
        <v>1</v>
      </c>
      <c r="G377" t="n">
        <v>1</v>
      </c>
      <c r="H377" t="inlineStr">
        <is>
          <t>No</t>
        </is>
      </c>
      <c r="I377" t="inlineStr"/>
      <c r="J377" t="n">
        <v>1</v>
      </c>
      <c r="K377" t="n">
        <v>1</v>
      </c>
      <c r="L377" s="5">
        <f>HYPERLINK("https://api.qogita.com/variants/link/4820121590572/", "View Product")</f>
        <v/>
      </c>
    </row>
    <row r="378">
      <c r="A378" t="inlineStr">
        <is>
          <t>4820121591067</t>
        </is>
      </c>
      <c r="B378" t="inlineStr">
        <is>
          <t>Staleks Classic Nippers 11-8mm</t>
        </is>
      </c>
      <c r="C378" t="inlineStr">
        <is>
          <t>Nail Clippers &amp; Tools</t>
        </is>
      </c>
      <c r="D378" t="inlineStr">
        <is>
          <t>Staleks</t>
        </is>
      </c>
      <c r="E378" t="n">
        <v>8.77</v>
      </c>
      <c r="F378" t="n">
        <v>1</v>
      </c>
      <c r="G378" t="n">
        <v>3</v>
      </c>
      <c r="H378" t="inlineStr">
        <is>
          <t>No</t>
        </is>
      </c>
      <c r="I378" t="inlineStr"/>
      <c r="J378" t="n">
        <v>1</v>
      </c>
      <c r="K378" t="n">
        <v>3</v>
      </c>
      <c r="L378" s="5">
        <f>HYPERLINK("https://api.qogita.com/variants/link/4820121591067/", "View Product")</f>
        <v/>
      </c>
    </row>
    <row r="379">
      <c r="A379" t="inlineStr">
        <is>
          <t>4820121591449</t>
        </is>
      </c>
      <c r="B379" t="inlineStr">
        <is>
          <t>Staleks Expert 60 16 Mm Professional Nail Nippers</t>
        </is>
      </c>
      <c r="C379" t="inlineStr">
        <is>
          <t>Nail Clippers &amp; Tools</t>
        </is>
      </c>
      <c r="D379" t="inlineStr">
        <is>
          <t>Staleks</t>
        </is>
      </c>
      <c r="E379" t="n">
        <v>18.34</v>
      </c>
      <c r="F379" t="n">
        <v>1</v>
      </c>
      <c r="G379" t="n">
        <v>1</v>
      </c>
      <c r="H379" t="inlineStr">
        <is>
          <t>No</t>
        </is>
      </c>
      <c r="I379" t="inlineStr"/>
      <c r="J379" t="n">
        <v>1</v>
      </c>
      <c r="K379" t="n">
        <v>1</v>
      </c>
      <c r="L379" s="5">
        <f>HYPERLINK("https://api.qogita.com/variants/link/4820121591449/", "View Product")</f>
        <v/>
      </c>
    </row>
    <row r="380">
      <c r="A380" t="inlineStr">
        <is>
          <t>4820121591456</t>
        </is>
      </c>
      <c r="B380" t="inlineStr">
        <is>
          <t>Staleks Expert 60 12 Mm Professional Nail Nippers</t>
        </is>
      </c>
      <c r="C380" t="inlineStr">
        <is>
          <t>Nail Clippers &amp; Tools</t>
        </is>
      </c>
      <c r="D380" t="inlineStr">
        <is>
          <t>Staleks</t>
        </is>
      </c>
      <c r="E380" t="n">
        <v>15.54</v>
      </c>
      <c r="F380" t="n">
        <v>1</v>
      </c>
      <c r="G380" t="n">
        <v>2</v>
      </c>
      <c r="H380" t="inlineStr">
        <is>
          <t>No</t>
        </is>
      </c>
      <c r="I380" t="inlineStr"/>
      <c r="J380" t="n">
        <v>1</v>
      </c>
      <c r="K380" t="n">
        <v>2</v>
      </c>
      <c r="L380" s="5">
        <f>HYPERLINK("https://api.qogita.com/variants/link/4820121591456/", "View Product")</f>
        <v/>
      </c>
    </row>
    <row r="381">
      <c r="A381" t="inlineStr">
        <is>
          <t>4820121591692</t>
        </is>
      </c>
      <c r="B381" t="inlineStr">
        <is>
          <t>Staleks Professional Cuticle Nippers Smart 10 3 Mm Precision Nail Care Tool</t>
        </is>
      </c>
      <c r="C381" t="inlineStr">
        <is>
          <t>Nail Clippers &amp; Tools</t>
        </is>
      </c>
      <c r="D381" t="inlineStr">
        <is>
          <t>Staleks</t>
        </is>
      </c>
      <c r="E381" t="n">
        <v>11.02</v>
      </c>
      <c r="F381" t="n">
        <v>1</v>
      </c>
      <c r="G381" t="n">
        <v>11</v>
      </c>
      <c r="H381" t="inlineStr">
        <is>
          <t>No</t>
        </is>
      </c>
      <c r="I381" t="inlineStr"/>
      <c r="J381" t="n">
        <v>2</v>
      </c>
      <c r="K381" t="n">
        <v>13</v>
      </c>
      <c r="L381" s="5">
        <f>HYPERLINK("https://api.qogita.com/variants/link/4820121591692/", "View Product")</f>
        <v/>
      </c>
    </row>
    <row r="382">
      <c r="A382" t="inlineStr">
        <is>
          <t>4820121594013</t>
        </is>
      </c>
      <c r="B382" t="inlineStr">
        <is>
          <t>Staleks Expert 51 Type 1 Manicure Pusher Essential Tool For Nail Care</t>
        </is>
      </c>
      <c r="C382" t="inlineStr">
        <is>
          <t>Nail Clippers &amp; Tools</t>
        </is>
      </c>
      <c r="D382" t="inlineStr">
        <is>
          <t>Staleks</t>
        </is>
      </c>
      <c r="E382" t="n">
        <v>3.67</v>
      </c>
      <c r="F382" t="n">
        <v>1</v>
      </c>
      <c r="G382" t="n">
        <v>1</v>
      </c>
      <c r="H382" t="inlineStr">
        <is>
          <t>No</t>
        </is>
      </c>
      <c r="I382" t="inlineStr"/>
      <c r="J382" t="n">
        <v>1</v>
      </c>
      <c r="K382" t="n">
        <v>1</v>
      </c>
      <c r="L382" s="5">
        <f>HYPERLINK("https://api.qogita.com/variants/link/4820121594013/", "View Product")</f>
        <v/>
      </c>
    </row>
    <row r="383">
      <c r="A383" t="inlineStr">
        <is>
          <t>4820121594358</t>
        </is>
      </c>
      <c r="B383" t="inlineStr">
        <is>
          <t>STALEKS PRO Expert 20 Metal Base for Disposable Nail Files - Silver</t>
        </is>
      </c>
      <c r="C383" t="inlineStr">
        <is>
          <t>Nail Care Sets</t>
        </is>
      </c>
      <c r="D383" t="inlineStr">
        <is>
          <t>Staleks Pro</t>
        </is>
      </c>
      <c r="E383" t="n">
        <v>2.59</v>
      </c>
      <c r="F383" t="n">
        <v>1</v>
      </c>
      <c r="G383" t="n">
        <v>20</v>
      </c>
      <c r="H383" t="inlineStr">
        <is>
          <t>No</t>
        </is>
      </c>
      <c r="I383" t="inlineStr"/>
      <c r="J383" t="n">
        <v>1</v>
      </c>
      <c r="K383" t="n">
        <v>20</v>
      </c>
      <c r="L383" s="5">
        <f>HYPERLINK("https://api.qogita.com/variants/link/4820121594358/", "View Product")</f>
        <v/>
      </c>
    </row>
    <row r="384">
      <c r="A384" t="inlineStr">
        <is>
          <t>4820121595393</t>
        </is>
      </c>
      <c r="B384" t="inlineStr">
        <is>
          <t>Staleks Beauty &amp; Care Large Nail Clipper With Container 20</t>
        </is>
      </c>
      <c r="C384" t="inlineStr">
        <is>
          <t>Nail Clippers &amp; Tools</t>
        </is>
      </c>
      <c r="D384" t="inlineStr">
        <is>
          <t>Staleks</t>
        </is>
      </c>
      <c r="E384" t="n">
        <v>3.68</v>
      </c>
      <c r="F384" t="n">
        <v>1</v>
      </c>
      <c r="G384" t="n">
        <v>8</v>
      </c>
      <c r="H384" t="inlineStr">
        <is>
          <t>No</t>
        </is>
      </c>
      <c r="I384" t="inlineStr"/>
      <c r="J384" t="n">
        <v>3</v>
      </c>
      <c r="K384" t="n">
        <v>22</v>
      </c>
      <c r="L384" s="5">
        <f>HYPERLINK("https://api.qogita.com/variants/link/4820121595393/", "View Product")</f>
        <v/>
      </c>
    </row>
    <row r="385">
      <c r="A385" t="inlineStr">
        <is>
          <t>4820121595645</t>
        </is>
      </c>
      <c r="B385" t="inlineStr">
        <is>
          <t>Staleks Pro Smart 70 Cuticle Nippers 14mm</t>
        </is>
      </c>
      <c r="C385" t="inlineStr">
        <is>
          <t>Nail Clippers &amp; Tools</t>
        </is>
      </c>
      <c r="D385" t="inlineStr">
        <is>
          <t>Staleks</t>
        </is>
      </c>
      <c r="E385" t="n">
        <v>10.27</v>
      </c>
      <c r="F385" t="n">
        <v>1</v>
      </c>
      <c r="G385" t="n">
        <v>1</v>
      </c>
      <c r="H385" t="inlineStr">
        <is>
          <t>No</t>
        </is>
      </c>
      <c r="I385" t="inlineStr"/>
      <c r="J385" t="n">
        <v>1</v>
      </c>
      <c r="K385" t="n">
        <v>1</v>
      </c>
      <c r="L385" s="5">
        <f>HYPERLINK("https://api.qogita.com/variants/link/4820121595645/", "View Product")</f>
        <v/>
      </c>
    </row>
    <row r="386">
      <c r="A386" t="inlineStr">
        <is>
          <t>4820121596000</t>
        </is>
      </c>
      <c r="B386" t="inlineStr">
        <is>
          <t>Staleks Pro Professional Cuticle Nippers Smart 80 Half Jaw 5mm Blade</t>
        </is>
      </c>
      <c r="C386" t="inlineStr">
        <is>
          <t>Nail Clippers &amp; Tools</t>
        </is>
      </c>
      <c r="D386" t="inlineStr">
        <is>
          <t>Staleks Pro</t>
        </is>
      </c>
      <c r="E386" t="n">
        <v>11.51</v>
      </c>
      <c r="F386" t="n">
        <v>1</v>
      </c>
      <c r="G386" t="n">
        <v>1</v>
      </c>
      <c r="H386" t="inlineStr">
        <is>
          <t>No</t>
        </is>
      </c>
      <c r="I386" t="inlineStr"/>
      <c r="J386" t="n">
        <v>1</v>
      </c>
      <c r="K386" t="n">
        <v>1</v>
      </c>
      <c r="L386" s="5">
        <f>HYPERLINK("https://api.qogita.com/variants/link/4820121596000/", "View Product")</f>
        <v/>
      </c>
    </row>
    <row r="387">
      <c r="A387" t="inlineStr">
        <is>
          <t>4820121599391</t>
        </is>
      </c>
      <c r="B387" t="inlineStr">
        <is>
          <t>Staleks Pro Expert 100 Full Jaw 7mm Blade Professional Cuticle Nippers</t>
        </is>
      </c>
      <c r="C387" t="inlineStr">
        <is>
          <t>Nail Clippers &amp; Tools</t>
        </is>
      </c>
      <c r="D387" t="inlineStr">
        <is>
          <t>Staleks Pro</t>
        </is>
      </c>
      <c r="E387" t="n">
        <v>15.8</v>
      </c>
      <c r="F387" t="n">
        <v>1</v>
      </c>
      <c r="G387" t="n">
        <v>1</v>
      </c>
      <c r="H387" t="inlineStr">
        <is>
          <t>No</t>
        </is>
      </c>
      <c r="I387" t="inlineStr"/>
      <c r="J387" t="n">
        <v>1</v>
      </c>
      <c r="K387" t="n">
        <v>1</v>
      </c>
      <c r="L387" s="5">
        <f>HYPERLINK("https://api.qogita.com/variants/link/4820121599391/", "View Product")</f>
        <v/>
      </c>
    </row>
    <row r="388">
      <c r="A388" t="inlineStr">
        <is>
          <t>4820121599506</t>
        </is>
      </c>
      <c r="B388" t="inlineStr">
        <is>
          <t>STALEKS PodoDisc Pedicure Set with 5 Refill Files 180 Grit 15mm</t>
        </is>
      </c>
      <c r="C388" t="inlineStr">
        <is>
          <t>Nail Care Sets</t>
        </is>
      </c>
      <c r="D388" t="inlineStr">
        <is>
          <t>Staleks Pro</t>
        </is>
      </c>
      <c r="E388" t="n">
        <v>3.69</v>
      </c>
      <c r="F388" t="n">
        <v>1</v>
      </c>
      <c r="G388" t="n">
        <v>3</v>
      </c>
      <c r="H388" t="inlineStr">
        <is>
          <t>No</t>
        </is>
      </c>
      <c r="I388" t="inlineStr"/>
      <c r="J388" t="n">
        <v>1</v>
      </c>
      <c r="K388" t="n">
        <v>3</v>
      </c>
      <c r="L388" s="5">
        <f>HYPERLINK("https://api.qogita.com/variants/link/4820121599506/", "View Product")</f>
        <v/>
      </c>
    </row>
    <row r="389">
      <c r="A389" t="inlineStr">
        <is>
          <t>4820241061136</t>
        </is>
      </c>
      <c r="B389" t="inlineStr">
        <is>
          <t>Staleks Disposable Wooden Nail File Base For Am Expert 20 50 Pieces</t>
        </is>
      </c>
      <c r="C389" t="inlineStr">
        <is>
          <t>Nail Care Sets</t>
        </is>
      </c>
      <c r="D389" t="inlineStr">
        <is>
          <t>Staleks</t>
        </is>
      </c>
      <c r="E389" t="n">
        <v>2.48</v>
      </c>
      <c r="F389" t="n">
        <v>1</v>
      </c>
      <c r="G389" t="n">
        <v>25</v>
      </c>
      <c r="H389" t="inlineStr">
        <is>
          <t>No</t>
        </is>
      </c>
      <c r="I389" t="inlineStr"/>
      <c r="J389" t="n">
        <v>1</v>
      </c>
      <c r="K389" t="n">
        <v>25</v>
      </c>
      <c r="L389" s="5">
        <f>HYPERLINK("https://api.qogita.com/variants/link/4820241061136/", "View Product")</f>
        <v/>
      </c>
    </row>
    <row r="390">
      <c r="A390" t="inlineStr">
        <is>
          <t>4820241062898</t>
        </is>
      </c>
      <c r="B390" t="inlineStr">
        <is>
          <t>Staleks Expert 20s Straight Metal Nail File With Base Metal Handle For Disposable Nail Files</t>
        </is>
      </c>
      <c r="C390" t="inlineStr">
        <is>
          <t>Nail Clippers &amp; Tools</t>
        </is>
      </c>
      <c r="D390" t="inlineStr">
        <is>
          <t>Staleks</t>
        </is>
      </c>
      <c r="E390" t="n">
        <v>2.15</v>
      </c>
      <c r="F390" t="n">
        <v>1</v>
      </c>
      <c r="G390" t="n">
        <v>2</v>
      </c>
      <c r="H390" t="inlineStr">
        <is>
          <t>No</t>
        </is>
      </c>
      <c r="I390" t="inlineStr"/>
      <c r="J390" t="n">
        <v>1</v>
      </c>
      <c r="K390" t="n">
        <v>2</v>
      </c>
      <c r="L390" s="5">
        <f>HYPERLINK("https://api.qogita.com/variants/link/4820241062898/", "View Product")</f>
        <v/>
      </c>
    </row>
    <row r="391">
      <c r="A391" t="inlineStr">
        <is>
          <t>4820241064120</t>
        </is>
      </c>
      <c r="B391" t="inlineStr">
        <is>
          <t>Staleks Pro Refill Disposable Pumice Files For Straight Base</t>
        </is>
      </c>
      <c r="C391" t="inlineStr">
        <is>
          <t>Cuticle Removers</t>
        </is>
      </c>
      <c r="D391" t="inlineStr">
        <is>
          <t>Staleks</t>
        </is>
      </c>
      <c r="E391" t="n">
        <v>4</v>
      </c>
      <c r="F391" t="n">
        <v>1</v>
      </c>
      <c r="G391" t="n">
        <v>6</v>
      </c>
      <c r="H391" t="inlineStr">
        <is>
          <t>No</t>
        </is>
      </c>
      <c r="I391" t="inlineStr"/>
      <c r="J391" t="n">
        <v>1</v>
      </c>
      <c r="K391" t="n">
        <v>6</v>
      </c>
      <c r="L391" s="5">
        <f>HYPERLINK("https://api.qogita.com/variants/link/4820241064120/", "View Product")</f>
        <v/>
      </c>
    </row>
    <row r="392">
      <c r="A392" t="inlineStr">
        <is>
          <t>4820241064526</t>
        </is>
      </c>
      <c r="B392" t="inlineStr">
        <is>
          <t>Staleks Diamond Ball Cuticle Nail Drill Bit 2.7mm Soft Red</t>
        </is>
      </c>
      <c r="C392" t="inlineStr">
        <is>
          <t>Cuticle Removers</t>
        </is>
      </c>
      <c r="D392" t="inlineStr">
        <is>
          <t>Staleks</t>
        </is>
      </c>
      <c r="E392" t="n">
        <v>1.85</v>
      </c>
      <c r="F392" t="n">
        <v>1</v>
      </c>
      <c r="G392" t="n">
        <v>6</v>
      </c>
      <c r="H392" t="inlineStr">
        <is>
          <t>No</t>
        </is>
      </c>
      <c r="I392" t="inlineStr"/>
      <c r="J392" t="n">
        <v>1</v>
      </c>
      <c r="K392" t="n">
        <v>6</v>
      </c>
      <c r="L392" s="5">
        <f>HYPERLINK("https://api.qogita.com/variants/link/4820241064526/", "View Product")</f>
        <v/>
      </c>
    </row>
    <row r="393">
      <c r="A393" t="inlineStr">
        <is>
          <t>4820241064533</t>
        </is>
      </c>
      <c r="B393" t="inlineStr">
        <is>
          <t>Staleks Diamond Nail Drill Manicure Pedicure Ball 3.5mm Red</t>
        </is>
      </c>
      <c r="C393" t="inlineStr">
        <is>
          <t>Manicure Sets</t>
        </is>
      </c>
      <c r="D393" t="inlineStr">
        <is>
          <t>Staleks</t>
        </is>
      </c>
      <c r="E393" t="n">
        <v>2.73</v>
      </c>
      <c r="F393" t="n">
        <v>1</v>
      </c>
      <c r="G393" t="n">
        <v>6</v>
      </c>
      <c r="H393" t="inlineStr">
        <is>
          <t>No</t>
        </is>
      </c>
      <c r="I393" t="inlineStr"/>
      <c r="J393" t="n">
        <v>1</v>
      </c>
      <c r="K393" t="n">
        <v>6</v>
      </c>
      <c r="L393" s="5">
        <f>HYPERLINK("https://api.qogita.com/variants/link/4820241064533/", "View Product")</f>
        <v/>
      </c>
    </row>
    <row r="394">
      <c r="A394" t="inlineStr">
        <is>
          <t>4820241064571</t>
        </is>
      </c>
      <c r="B394" t="inlineStr">
        <is>
          <t>Staleks Diamond Ball Cuticle Nail Drill Bit 2.7mm Medium Blue</t>
        </is>
      </c>
      <c r="C394" t="inlineStr">
        <is>
          <t>Cuticle Removers</t>
        </is>
      </c>
      <c r="D394" t="inlineStr">
        <is>
          <t>Staleks</t>
        </is>
      </c>
      <c r="E394" t="n">
        <v>1.85</v>
      </c>
      <c r="F394" t="n">
        <v>1</v>
      </c>
      <c r="G394" t="n">
        <v>5</v>
      </c>
      <c r="H394" t="inlineStr">
        <is>
          <t>No</t>
        </is>
      </c>
      <c r="I394" t="inlineStr"/>
      <c r="J394" t="n">
        <v>1</v>
      </c>
      <c r="K394" t="n">
        <v>5</v>
      </c>
      <c r="L394" s="5">
        <f>HYPERLINK("https://api.qogita.com/variants/link/4820241064571/", "View Product")</f>
        <v/>
      </c>
    </row>
    <row r="395">
      <c r="A395" t="inlineStr">
        <is>
          <t>4820241064625</t>
        </is>
      </c>
      <c r="B395" t="inlineStr">
        <is>
          <t>STALEKS PRO Diamond Bit Flame Red Ring Attachment for Nail Cutters 16 x 7 x 0.7 cm</t>
        </is>
      </c>
      <c r="C395" t="inlineStr">
        <is>
          <t>Nail Clippers &amp; Tools</t>
        </is>
      </c>
      <c r="D395" t="inlineStr">
        <is>
          <t>Staleks Pro</t>
        </is>
      </c>
      <c r="E395" t="n">
        <v>1.85</v>
      </c>
      <c r="F395" t="n">
        <v>1</v>
      </c>
      <c r="G395" t="n">
        <v>6</v>
      </c>
      <c r="H395" t="inlineStr">
        <is>
          <t>No</t>
        </is>
      </c>
      <c r="I395" t="inlineStr"/>
      <c r="J395" t="n">
        <v>2</v>
      </c>
      <c r="K395" t="n">
        <v>13</v>
      </c>
      <c r="L395" s="5">
        <f>HYPERLINK("https://api.qogita.com/variants/link/4820241064625/", "View Product")</f>
        <v/>
      </c>
    </row>
    <row r="396">
      <c r="A396" t="inlineStr">
        <is>
          <t>4820241064700</t>
        </is>
      </c>
      <c r="B396" t="inlineStr">
        <is>
          <t>Staleks Diamond Nail Drill For Manicure And Pedicure Olive Blue 164mm</t>
        </is>
      </c>
      <c r="C396" t="inlineStr">
        <is>
          <t>Manicure Sets</t>
        </is>
      </c>
      <c r="D396" t="inlineStr">
        <is>
          <t>Staleks</t>
        </is>
      </c>
      <c r="E396" t="n">
        <v>1.8</v>
      </c>
      <c r="F396" t="n">
        <v>1</v>
      </c>
      <c r="G396" t="n">
        <v>4</v>
      </c>
      <c r="H396" t="inlineStr">
        <is>
          <t>No</t>
        </is>
      </c>
      <c r="I396" t="inlineStr"/>
      <c r="J396" t="n">
        <v>1</v>
      </c>
      <c r="K396" t="n">
        <v>4</v>
      </c>
      <c r="L396" s="5">
        <f>HYPERLINK("https://api.qogita.com/variants/link/4820241064700/", "View Product")</f>
        <v/>
      </c>
    </row>
    <row r="397">
      <c r="A397" t="inlineStr">
        <is>
          <t>4820241064809</t>
        </is>
      </c>
      <c r="B397" t="inlineStr">
        <is>
          <t>STALEKS PRO Diamond Rounded Bud Cuticle Nail Drill Bit 1.6mm 3.4mm - Soft Red</t>
        </is>
      </c>
      <c r="C397" t="inlineStr">
        <is>
          <t>Cuticle Removers</t>
        </is>
      </c>
      <c r="D397" t="inlineStr">
        <is>
          <t>Staleks Pro</t>
        </is>
      </c>
      <c r="E397" t="n">
        <v>1.86</v>
      </c>
      <c r="F397" t="n">
        <v>1</v>
      </c>
      <c r="G397" t="n">
        <v>6</v>
      </c>
      <c r="H397" t="inlineStr">
        <is>
          <t>No</t>
        </is>
      </c>
      <c r="I397" t="inlineStr"/>
      <c r="J397" t="n">
        <v>1</v>
      </c>
      <c r="K397" t="n">
        <v>6</v>
      </c>
      <c r="L397" s="5">
        <f>HYPERLINK("https://api.qogita.com/variants/link/4820241064809/", "View Product")</f>
        <v/>
      </c>
    </row>
    <row r="398">
      <c r="A398" t="inlineStr">
        <is>
          <t>4820241064861</t>
        </is>
      </c>
      <c r="B398" t="inlineStr">
        <is>
          <t>Staleks Diamond Truncated Cone Nail Bit FA70B018/8 1.8mm</t>
        </is>
      </c>
      <c r="C398" t="inlineStr">
        <is>
          <t>Nail Clippers &amp; Tools</t>
        </is>
      </c>
      <c r="D398" t="inlineStr">
        <is>
          <t>Staleks</t>
        </is>
      </c>
      <c r="E398" t="n">
        <v>1.85</v>
      </c>
      <c r="F398" t="n">
        <v>1</v>
      </c>
      <c r="G398" t="n">
        <v>3</v>
      </c>
      <c r="H398" t="inlineStr">
        <is>
          <t>No</t>
        </is>
      </c>
      <c r="I398" t="inlineStr"/>
      <c r="J398" t="n">
        <v>1</v>
      </c>
      <c r="K398" t="n">
        <v>3</v>
      </c>
      <c r="L398" s="5">
        <f>HYPERLINK("https://api.qogita.com/variants/link/4820241064861/", "View Product")</f>
        <v/>
      </c>
    </row>
    <row r="399">
      <c r="A399" t="inlineStr">
        <is>
          <t>4820241065141</t>
        </is>
      </c>
      <c r="B399" t="inlineStr">
        <is>
          <t>Staleks Expert 90 Type 2 Manicure Pusher Essential Tool For Nail Care</t>
        </is>
      </c>
      <c r="C399" t="inlineStr">
        <is>
          <t>Nail Clippers &amp; Tools</t>
        </is>
      </c>
      <c r="D399" t="inlineStr">
        <is>
          <t>Staleks</t>
        </is>
      </c>
      <c r="E399" t="n">
        <v>3.33</v>
      </c>
      <c r="F399" t="n">
        <v>1</v>
      </c>
      <c r="G399" t="n">
        <v>1</v>
      </c>
      <c r="H399" t="inlineStr">
        <is>
          <t>No</t>
        </is>
      </c>
      <c r="I399" t="inlineStr"/>
      <c r="J399" t="n">
        <v>1</v>
      </c>
      <c r="K399" t="n">
        <v>1</v>
      </c>
      <c r="L399" s="5">
        <f>HYPERLINK("https://api.qogita.com/variants/link/4820241065141/", "View Product")</f>
        <v/>
      </c>
    </row>
    <row r="400">
      <c r="A400" t="inlineStr">
        <is>
          <t>4820241065523</t>
        </is>
      </c>
      <c r="B400" t="inlineStr">
        <is>
          <t>Staleks Replacement Sandpaper For Pedicure Disc Pro L Grit 80 50 Pieces</t>
        </is>
      </c>
      <c r="C400" t="inlineStr">
        <is>
          <t>Nail Clippers &amp; Tools</t>
        </is>
      </c>
      <c r="D400" t="inlineStr">
        <is>
          <t>Staleks</t>
        </is>
      </c>
      <c r="E400" t="n">
        <v>1.35</v>
      </c>
      <c r="F400" t="n">
        <v>1</v>
      </c>
      <c r="G400" t="n">
        <v>2</v>
      </c>
      <c r="H400" t="inlineStr">
        <is>
          <t>No</t>
        </is>
      </c>
      <c r="I400" t="inlineStr"/>
      <c r="J400" t="n">
        <v>1</v>
      </c>
      <c r="K400" t="n">
        <v>2</v>
      </c>
      <c r="L400" s="5">
        <f>HYPERLINK("https://api.qogita.com/variants/link/4820241065523/", "View Product")</f>
        <v/>
      </c>
    </row>
    <row r="401">
      <c r="A401" t="inlineStr">
        <is>
          <t>4820241065554</t>
        </is>
      </c>
      <c r="B401" t="inlineStr">
        <is>
          <t>Staleks Pododisc Pro L 240 Grit Nail File 50 Pack White Emery/Crystal</t>
        </is>
      </c>
      <c r="C401" t="inlineStr">
        <is>
          <t>Nail Care</t>
        </is>
      </c>
      <c r="D401" t="inlineStr">
        <is>
          <t>Staleks</t>
        </is>
      </c>
      <c r="E401" t="n">
        <v>1.25</v>
      </c>
      <c r="F401" t="n">
        <v>1</v>
      </c>
      <c r="G401" t="n">
        <v>2</v>
      </c>
      <c r="H401" t="inlineStr">
        <is>
          <t>No</t>
        </is>
      </c>
      <c r="I401" t="inlineStr"/>
      <c r="J401" t="n">
        <v>1</v>
      </c>
      <c r="K401" t="n">
        <v>2</v>
      </c>
      <c r="L401" s="5">
        <f>HYPERLINK("https://api.qogita.com/variants/link/4820241065554/", "View Product")</f>
        <v/>
      </c>
    </row>
    <row r="402">
      <c r="A402" t="inlineStr">
        <is>
          <t>4820241065608</t>
        </is>
      </c>
      <c r="B402" t="inlineStr">
        <is>
          <t>Staleks Pro M 240 White Pedicure Nail File Refill Disc</t>
        </is>
      </c>
      <c r="C402" t="inlineStr">
        <is>
          <t>Nail Care</t>
        </is>
      </c>
      <c r="D402" t="inlineStr">
        <is>
          <t>Staleks</t>
        </is>
      </c>
      <c r="E402" t="n">
        <v>1.24</v>
      </c>
      <c r="F402" t="n">
        <v>1</v>
      </c>
      <c r="G402" t="n">
        <v>2</v>
      </c>
      <c r="H402" t="inlineStr">
        <is>
          <t>No</t>
        </is>
      </c>
      <c r="I402" t="inlineStr"/>
      <c r="J402" t="n">
        <v>1</v>
      </c>
      <c r="K402" t="n">
        <v>2</v>
      </c>
      <c r="L402" s="5">
        <f>HYPERLINK("https://api.qogita.com/variants/link/4820241065608/", "View Product")</f>
        <v/>
      </c>
    </row>
    <row r="403">
      <c r="A403" t="inlineStr">
        <is>
          <t>4820241065769</t>
        </is>
      </c>
      <c r="B403" t="inlineStr">
        <is>
          <t>Staleks Professional Nail File 180/240 Grit</t>
        </is>
      </c>
      <c r="C403" t="inlineStr">
        <is>
          <t>Nail Care</t>
        </is>
      </c>
      <c r="D403" t="inlineStr">
        <is>
          <t>Staleks</t>
        </is>
      </c>
      <c r="E403" t="n">
        <v>0.71</v>
      </c>
      <c r="F403" t="n">
        <v>1</v>
      </c>
      <c r="G403" t="n">
        <v>25</v>
      </c>
      <c r="H403" t="inlineStr">
        <is>
          <t>No</t>
        </is>
      </c>
      <c r="I403" t="inlineStr"/>
      <c r="J403" t="n">
        <v>1</v>
      </c>
      <c r="K403" t="n">
        <v>25</v>
      </c>
      <c r="L403" s="5">
        <f>HYPERLINK("https://api.qogita.com/variants/link/4820241065769/", "View Product")</f>
        <v/>
      </c>
    </row>
    <row r="404">
      <c r="A404" t="inlineStr">
        <is>
          <t>4820241066889</t>
        </is>
      </c>
      <c r="B404" t="inlineStr">
        <is>
          <t>Staleks Disposable White Nail Files For Manicure And Pedicure</t>
        </is>
      </c>
      <c r="C404" t="inlineStr">
        <is>
          <t>Nail Clippers &amp; Tools</t>
        </is>
      </c>
      <c r="D404" t="inlineStr">
        <is>
          <t>Staleks</t>
        </is>
      </c>
      <c r="E404" t="n">
        <v>2.8</v>
      </c>
      <c r="F404" t="n">
        <v>1</v>
      </c>
      <c r="G404" t="n">
        <v>1</v>
      </c>
      <c r="H404" t="inlineStr">
        <is>
          <t>No</t>
        </is>
      </c>
      <c r="I404" t="inlineStr"/>
      <c r="J404" t="n">
        <v>1</v>
      </c>
      <c r="K404" t="n">
        <v>1</v>
      </c>
      <c r="L404" s="5">
        <f>HYPERLINK("https://api.qogita.com/variants/link/4820241066889/", "View Product")</f>
        <v/>
      </c>
    </row>
    <row r="405">
      <c r="A405" t="inlineStr">
        <is>
          <t>4820241066995</t>
        </is>
      </c>
      <c r="B405" t="inlineStr">
        <is>
          <t>Staleks Orange Expert Manicure Sticks Wooden Stick 150 Mm</t>
        </is>
      </c>
      <c r="C405" t="inlineStr">
        <is>
          <t>Manicure Sets</t>
        </is>
      </c>
      <c r="D405" t="inlineStr">
        <is>
          <t>Staleks</t>
        </is>
      </c>
      <c r="E405" t="n">
        <v>0.9399999999999999</v>
      </c>
      <c r="F405" t="n">
        <v>1</v>
      </c>
      <c r="G405" t="n">
        <v>132</v>
      </c>
      <c r="H405" t="inlineStr">
        <is>
          <t>No</t>
        </is>
      </c>
      <c r="I405" t="inlineStr"/>
      <c r="J405" t="n">
        <v>1</v>
      </c>
      <c r="K405" t="n">
        <v>132</v>
      </c>
      <c r="L405" s="5">
        <f>HYPERLINK("https://api.qogita.com/variants/link/4820241066995/", "View Product")</f>
        <v/>
      </c>
    </row>
    <row r="406">
      <c r="A406" t="inlineStr">
        <is>
          <t>4820241067206</t>
        </is>
      </c>
      <c r="B406" t="inlineStr">
        <is>
          <t>Staleks Abrasive Kit For Pedicure Rasps</t>
        </is>
      </c>
      <c r="C406" t="inlineStr">
        <is>
          <t>Nail Care Sets</t>
        </is>
      </c>
      <c r="D406" t="inlineStr">
        <is>
          <t>Staleks</t>
        </is>
      </c>
      <c r="E406" t="n">
        <v>4.61</v>
      </c>
      <c r="F406" t="n">
        <v>1</v>
      </c>
      <c r="G406" t="n">
        <v>1</v>
      </c>
      <c r="H406" t="inlineStr">
        <is>
          <t>No</t>
        </is>
      </c>
      <c r="I406" t="inlineStr"/>
      <c r="J406" t="n">
        <v>1</v>
      </c>
      <c r="K406" t="n">
        <v>1</v>
      </c>
      <c r="L406" s="5">
        <f>HYPERLINK("https://api.qogita.com/variants/link/4820241067206/", "View Product")</f>
        <v/>
      </c>
    </row>
    <row r="407">
      <c r="A407" t="inlineStr">
        <is>
          <t>4820241067282</t>
        </is>
      </c>
      <c r="B407" t="inlineStr">
        <is>
          <t>Proexpert Pro Expert 52 Doublesided Cuticle Pusher</t>
        </is>
      </c>
      <c r="C407" t="inlineStr">
        <is>
          <t>Cuticle Removers</t>
        </is>
      </c>
      <c r="D407" t="inlineStr">
        <is>
          <t>Pro-Expert</t>
        </is>
      </c>
      <c r="E407" t="n">
        <v>3.89</v>
      </c>
      <c r="F407" t="n">
        <v>1</v>
      </c>
      <c r="G407" t="n">
        <v>4</v>
      </c>
      <c r="H407" t="inlineStr">
        <is>
          <t>No</t>
        </is>
      </c>
      <c r="I407" t="inlineStr"/>
      <c r="J407" t="n">
        <v>2</v>
      </c>
      <c r="K407" t="n">
        <v>44</v>
      </c>
      <c r="L407" s="5">
        <f>HYPERLINK("https://api.qogita.com/variants/link/4820241067282/", "View Product")</f>
        <v/>
      </c>
    </row>
    <row r="408">
      <c r="A408" t="inlineStr">
        <is>
          <t>4820241067510</t>
        </is>
      </c>
      <c r="B408" t="inlineStr">
        <is>
          <t>Staleks Expert Nail File Halfmoon Nfe40 100180</t>
        </is>
      </c>
      <c r="C408" t="inlineStr">
        <is>
          <t>Nail Clippers &amp; Tools</t>
        </is>
      </c>
      <c r="D408" t="inlineStr">
        <is>
          <t>Staleks</t>
        </is>
      </c>
      <c r="E408" t="n">
        <v>0.21</v>
      </c>
      <c r="F408" t="n">
        <v>1</v>
      </c>
      <c r="G408" t="n">
        <v>214</v>
      </c>
      <c r="H408" t="inlineStr">
        <is>
          <t>No</t>
        </is>
      </c>
      <c r="I408" t="inlineStr"/>
      <c r="J408" t="n">
        <v>2</v>
      </c>
      <c r="K408" t="n">
        <v>879</v>
      </c>
      <c r="L408" s="5">
        <f>HYPERLINK("https://api.qogita.com/variants/link/4820241067510/", "View Product")</f>
        <v/>
      </c>
    </row>
    <row r="409">
      <c r="A409" t="inlineStr">
        <is>
          <t>4820241067534</t>
        </is>
      </c>
      <c r="B409" t="inlineStr">
        <is>
          <t>Staleks Crescent Mineral Nail File Expert 40 100/180 - 25 Pieces</t>
        </is>
      </c>
      <c r="C409" t="inlineStr">
        <is>
          <t>Nail Care Sets</t>
        </is>
      </c>
      <c r="D409" t="inlineStr">
        <is>
          <t>Staleks</t>
        </is>
      </c>
      <c r="E409" t="n">
        <v>4.59</v>
      </c>
      <c r="F409" t="n">
        <v>1</v>
      </c>
      <c r="G409" t="n">
        <v>28</v>
      </c>
      <c r="H409" t="inlineStr">
        <is>
          <t>No</t>
        </is>
      </c>
      <c r="I409" t="inlineStr"/>
      <c r="J409" t="n">
        <v>1</v>
      </c>
      <c r="K409" t="n">
        <v>28</v>
      </c>
      <c r="L409" s="5">
        <f>HYPERLINK("https://api.qogita.com/variants/link/4820241067534/", "View Product")</f>
        <v/>
      </c>
    </row>
    <row r="410">
      <c r="A410" t="inlineStr">
        <is>
          <t>4820241067565</t>
        </is>
      </c>
      <c r="B410" t="inlineStr">
        <is>
          <t>Staleks Expert Nail File Polksiezyc Nfe40 180240</t>
        </is>
      </c>
      <c r="C410" t="inlineStr">
        <is>
          <t>Nail Care</t>
        </is>
      </c>
      <c r="D410" t="inlineStr">
        <is>
          <t>Staleks</t>
        </is>
      </c>
      <c r="E410" t="n">
        <v>0.21</v>
      </c>
      <c r="F410" t="n">
        <v>1</v>
      </c>
      <c r="G410" t="n">
        <v>267</v>
      </c>
      <c r="H410" t="inlineStr">
        <is>
          <t>No</t>
        </is>
      </c>
      <c r="I410" t="inlineStr"/>
      <c r="J410" t="n">
        <v>2</v>
      </c>
      <c r="K410" t="n">
        <v>596</v>
      </c>
      <c r="L410" s="5">
        <f>HYPERLINK("https://api.qogita.com/variants/link/4820241067565/", "View Product")</f>
        <v/>
      </c>
    </row>
    <row r="411">
      <c r="A411" t="inlineStr">
        <is>
          <t>4820241067572</t>
        </is>
      </c>
      <c r="B411" t="inlineStr">
        <is>
          <t>Staleks Mineral Nail File Expert 40 180240 Crescent Mineral Nail File 25 Pcs</t>
        </is>
      </c>
      <c r="C411" t="inlineStr">
        <is>
          <t>Nail Clippers &amp; Tools</t>
        </is>
      </c>
      <c r="D411" t="inlineStr">
        <is>
          <t>Staleks</t>
        </is>
      </c>
      <c r="E411" t="n">
        <v>4.59</v>
      </c>
      <c r="F411" t="n">
        <v>1</v>
      </c>
      <c r="G411" t="n">
        <v>10</v>
      </c>
      <c r="H411" t="inlineStr">
        <is>
          <t>No</t>
        </is>
      </c>
      <c r="I411" t="inlineStr"/>
      <c r="J411" t="n">
        <v>1</v>
      </c>
      <c r="K411" t="n">
        <v>10</v>
      </c>
      <c r="L411" s="5">
        <f>HYPERLINK("https://api.qogita.com/variants/link/4820241067572/", "View Product")</f>
        <v/>
      </c>
    </row>
    <row r="412">
      <c r="A412" t="inlineStr">
        <is>
          <t>4820241069323</t>
        </is>
      </c>
      <c r="B412" t="inlineStr">
        <is>
          <t>Staleks Nail Cutter Sharp Pear - Blue, Diameter 4 Mm, Working Part 12</t>
        </is>
      </c>
      <c r="C412" t="inlineStr">
        <is>
          <t>Nail Clippers &amp; Tools</t>
        </is>
      </c>
      <c r="D412" t="inlineStr">
        <is>
          <t>Staleks</t>
        </is>
      </c>
      <c r="E412" t="n">
        <v>3.26</v>
      </c>
      <c r="F412" t="n">
        <v>1</v>
      </c>
      <c r="G412" t="n">
        <v>6</v>
      </c>
      <c r="H412" t="inlineStr">
        <is>
          <t>No</t>
        </is>
      </c>
      <c r="I412" t="inlineStr"/>
      <c r="J412" t="n">
        <v>1</v>
      </c>
      <c r="K412" t="n">
        <v>6</v>
      </c>
      <c r="L412" s="5">
        <f>HYPERLINK("https://api.qogita.com/variants/link/4820241069323/", "View Product")</f>
        <v/>
      </c>
    </row>
    <row r="413">
      <c r="A413" t="inlineStr">
        <is>
          <t>4820241069347</t>
        </is>
      </c>
      <c r="B413" t="inlineStr">
        <is>
          <t>Staleks Diamond Nail Drill Bit Rounded Pear Shape 5mm Diameter 12mm Working Length - Red</t>
        </is>
      </c>
      <c r="C413" t="inlineStr">
        <is>
          <t>Nail Care</t>
        </is>
      </c>
      <c r="D413" t="inlineStr">
        <is>
          <t>Staleks</t>
        </is>
      </c>
      <c r="E413" t="n">
        <v>4.1</v>
      </c>
      <c r="F413" t="n">
        <v>1</v>
      </c>
      <c r="G413" t="n">
        <v>6</v>
      </c>
      <c r="H413" t="inlineStr">
        <is>
          <t>No</t>
        </is>
      </c>
      <c r="I413" t="inlineStr"/>
      <c r="J413" t="n">
        <v>1</v>
      </c>
      <c r="K413" t="n">
        <v>6</v>
      </c>
      <c r="L413" s="5">
        <f>HYPERLINK("https://api.qogita.com/variants/link/4820241069347/", "View Product")</f>
        <v/>
      </c>
    </row>
    <row r="414">
      <c r="A414" t="inlineStr">
        <is>
          <t>4820241069354</t>
        </is>
      </c>
      <c r="B414" t="inlineStr">
        <is>
          <t>Staleks Diamond Cutter Fa101b050/12 Pear Blue - Nail Cutter</t>
        </is>
      </c>
      <c r="C414" t="inlineStr">
        <is>
          <t>Nail Clippers &amp; Tools</t>
        </is>
      </c>
      <c r="D414" t="inlineStr">
        <is>
          <t>Staleks</t>
        </is>
      </c>
      <c r="E414" t="n">
        <v>4.1</v>
      </c>
      <c r="F414" t="n">
        <v>1</v>
      </c>
      <c r="G414" t="n">
        <v>6</v>
      </c>
      <c r="H414" t="inlineStr">
        <is>
          <t>No</t>
        </is>
      </c>
      <c r="I414" t="inlineStr"/>
      <c r="J414" t="n">
        <v>1</v>
      </c>
      <c r="K414" t="n">
        <v>6</v>
      </c>
      <c r="L414" s="5">
        <f>HYPERLINK("https://api.qogita.com/variants/link/4820241069354/", "View Product")</f>
        <v/>
      </c>
    </row>
    <row r="415">
      <c r="A415" t="inlineStr">
        <is>
          <t>4820241069927</t>
        </is>
      </c>
      <c r="B415" t="inlineStr">
        <is>
          <t>Staleks Olive Red Expert Nail Cutter</t>
        </is>
      </c>
      <c r="C415" t="inlineStr">
        <is>
          <t>Nail Clippers &amp; Tools</t>
        </is>
      </c>
      <c r="D415" t="inlineStr">
        <is>
          <t>Staleks</t>
        </is>
      </c>
      <c r="E415" t="n">
        <v>3.89</v>
      </c>
      <c r="F415" t="n">
        <v>1</v>
      </c>
      <c r="G415" t="n">
        <v>6</v>
      </c>
      <c r="H415" t="inlineStr">
        <is>
          <t>No</t>
        </is>
      </c>
      <c r="I415" t="inlineStr"/>
      <c r="J415" t="n">
        <v>1</v>
      </c>
      <c r="K415" t="n">
        <v>6</v>
      </c>
      <c r="L415" s="5">
        <f>HYPERLINK("https://api.qogita.com/variants/link/4820241069927/", "View Product")</f>
        <v/>
      </c>
    </row>
    <row r="416">
      <c r="A416" t="inlineStr">
        <is>
          <t>4823126600062</t>
        </is>
      </c>
      <c r="B416" t="inlineStr">
        <is>
          <t>Staleks Green Expert Diameter Nail Cutter</t>
        </is>
      </c>
      <c r="C416" t="inlineStr">
        <is>
          <t>Nail Clippers &amp; Tools</t>
        </is>
      </c>
      <c r="D416" t="inlineStr">
        <is>
          <t>Staleks</t>
        </is>
      </c>
      <c r="E416" t="n">
        <v>1.47</v>
      </c>
      <c r="F416" t="n">
        <v>1</v>
      </c>
      <c r="G416" t="n">
        <v>6</v>
      </c>
      <c r="H416" t="inlineStr">
        <is>
          <t>No</t>
        </is>
      </c>
      <c r="I416" t="inlineStr"/>
      <c r="J416" t="n">
        <v>1</v>
      </c>
      <c r="K416" t="n">
        <v>6</v>
      </c>
      <c r="L416" s="5">
        <f>HYPERLINK("https://api.qogita.com/variants/link/4823126600062/", "View Product")</f>
        <v/>
      </c>
    </row>
    <row r="417">
      <c r="A417" t="inlineStr">
        <is>
          <t>4823126600116</t>
        </is>
      </c>
      <c r="B417" t="inlineStr">
        <is>
          <t>Staleks Diamond Pointed Pear Cuticle Nail Drill Bit 5mm Medium Blue</t>
        </is>
      </c>
      <c r="C417" t="inlineStr">
        <is>
          <t>Cuticle Removers</t>
        </is>
      </c>
      <c r="D417" t="inlineStr">
        <is>
          <t>Staleks</t>
        </is>
      </c>
      <c r="E417" t="n">
        <v>4.1</v>
      </c>
      <c r="F417" t="n">
        <v>1</v>
      </c>
      <c r="G417" t="n">
        <v>6</v>
      </c>
      <c r="H417" t="inlineStr">
        <is>
          <t>No</t>
        </is>
      </c>
      <c r="I417" t="inlineStr"/>
      <c r="J417" t="n">
        <v>1</v>
      </c>
      <c r="K417" t="n">
        <v>6</v>
      </c>
      <c r="L417" s="5">
        <f>HYPERLINK("https://api.qogita.com/variants/link/4823126600116/", "View Product")</f>
        <v/>
      </c>
    </row>
    <row r="418">
      <c r="A418" t="inlineStr">
        <is>
          <t>4823126600123</t>
        </is>
      </c>
      <c r="B418" t="inlineStr">
        <is>
          <t>Staleks Diamond Mini Flame Cuticle Nail Drill Bit 1mm Medium Blue</t>
        </is>
      </c>
      <c r="C418" t="inlineStr">
        <is>
          <t>Cuticle Removers</t>
        </is>
      </c>
      <c r="D418" t="inlineStr">
        <is>
          <t>Staleks</t>
        </is>
      </c>
      <c r="E418" t="n">
        <v>1.63</v>
      </c>
      <c r="F418" t="n">
        <v>1</v>
      </c>
      <c r="G418" t="n">
        <v>5</v>
      </c>
      <c r="H418" t="inlineStr">
        <is>
          <t>No</t>
        </is>
      </c>
      <c r="I418" t="inlineStr"/>
      <c r="J418" t="n">
        <v>1</v>
      </c>
      <c r="K418" t="n">
        <v>5</v>
      </c>
      <c r="L418" s="5">
        <f>HYPERLINK("https://api.qogita.com/variants/link/4823126600123/", "View Product")</f>
        <v/>
      </c>
    </row>
    <row r="419">
      <c r="A419" t="inlineStr">
        <is>
          <t>4823126600161</t>
        </is>
      </c>
      <c r="B419" t="inlineStr">
        <is>
          <t>Staleks Flame Blue Medium Nail Cutter</t>
        </is>
      </c>
      <c r="C419" t="inlineStr">
        <is>
          <t>Nail Clippers &amp; Tools</t>
        </is>
      </c>
      <c r="D419" t="inlineStr">
        <is>
          <t>Staleks</t>
        </is>
      </c>
      <c r="E419" t="n">
        <v>1.47</v>
      </c>
      <c r="F419" t="n">
        <v>1</v>
      </c>
      <c r="G419" t="n">
        <v>5</v>
      </c>
      <c r="H419" t="inlineStr">
        <is>
          <t>No</t>
        </is>
      </c>
      <c r="I419" t="inlineStr"/>
      <c r="J419" t="n">
        <v>1</v>
      </c>
      <c r="K419" t="n">
        <v>5</v>
      </c>
      <c r="L419" s="5">
        <f>HYPERLINK("https://api.qogita.com/variants/link/4823126600161/", "View Product")</f>
        <v/>
      </c>
    </row>
    <row r="420">
      <c r="A420" t="inlineStr">
        <is>
          <t>4823126601052</t>
        </is>
      </c>
      <c r="B420" t="inlineStr">
        <is>
          <t>Staleks Expert 40 Mineral Nail File 100/100 - Pack of 25</t>
        </is>
      </c>
      <c r="C420" t="inlineStr">
        <is>
          <t>Nail Care</t>
        </is>
      </c>
      <c r="D420" t="inlineStr">
        <is>
          <t>Staleks</t>
        </is>
      </c>
      <c r="E420" t="n">
        <v>4.89</v>
      </c>
      <c r="F420" t="n">
        <v>1</v>
      </c>
      <c r="G420" t="n">
        <v>5</v>
      </c>
      <c r="H420" t="inlineStr">
        <is>
          <t>No</t>
        </is>
      </c>
      <c r="I420" t="inlineStr"/>
      <c r="J420" t="n">
        <v>1</v>
      </c>
      <c r="K420" t="n">
        <v>5</v>
      </c>
      <c r="L420" s="5">
        <f>HYPERLINK("https://api.qogita.com/variants/link/4823126601052/", "View Product")</f>
        <v/>
      </c>
    </row>
    <row r="421">
      <c r="A421" t="inlineStr">
        <is>
          <t>4823126601717</t>
        </is>
      </c>
      <c r="B421" t="inlineStr">
        <is>
          <t>Staleks Expert Half Moon Nail File 80/100 Grit - Pack of 25</t>
        </is>
      </c>
      <c r="C421" t="inlineStr">
        <is>
          <t>Nail Clippers &amp; Tools</t>
        </is>
      </c>
      <c r="D421" t="inlineStr">
        <is>
          <t>Staleks</t>
        </is>
      </c>
      <c r="E421" t="n">
        <v>5.16</v>
      </c>
      <c r="F421" t="n">
        <v>1</v>
      </c>
      <c r="G421" t="n">
        <v>5</v>
      </c>
      <c r="H421" t="inlineStr">
        <is>
          <t>No</t>
        </is>
      </c>
      <c r="I421" t="inlineStr"/>
      <c r="J421" t="n">
        <v>1</v>
      </c>
      <c r="K421" t="n">
        <v>5</v>
      </c>
      <c r="L421" s="5">
        <f>HYPERLINK("https://api.qogita.com/variants/link/4823126601717/", "View Product")</f>
        <v/>
      </c>
    </row>
    <row r="422">
      <c r="A422" t="inlineStr">
        <is>
          <t>4823126601793</t>
        </is>
      </c>
      <c r="B422" t="inlineStr">
        <is>
          <t>Staleks Expert Nfe20 Nail File Straight Doublesided Pack Of 25</t>
        </is>
      </c>
      <c r="C422" t="inlineStr">
        <is>
          <t>Nail Care Sets</t>
        </is>
      </c>
      <c r="D422" t="inlineStr">
        <is>
          <t>Staleks</t>
        </is>
      </c>
      <c r="E422" t="n">
        <v>4.07</v>
      </c>
      <c r="F422" t="n">
        <v>1</v>
      </c>
      <c r="G422" t="n">
        <v>8</v>
      </c>
      <c r="H422" t="inlineStr">
        <is>
          <t>No</t>
        </is>
      </c>
      <c r="I422" t="inlineStr"/>
      <c r="J422" t="n">
        <v>1</v>
      </c>
      <c r="K422" t="n">
        <v>8</v>
      </c>
      <c r="L422" s="5">
        <f>HYPERLINK("https://api.qogita.com/variants/link/4823126601793/", "View Product")</f>
        <v/>
      </c>
    </row>
    <row r="423">
      <c r="A423" t="inlineStr">
        <is>
          <t>4823126601830</t>
        </is>
      </c>
      <c r="B423" t="inlineStr">
        <is>
          <t>Staleks Expert 20 180240 Straight Mineral Nail File 25 Pieces</t>
        </is>
      </c>
      <c r="C423" t="inlineStr">
        <is>
          <t>Manicure Sets</t>
        </is>
      </c>
      <c r="D423" t="inlineStr">
        <is>
          <t>Staleks</t>
        </is>
      </c>
      <c r="E423" t="n">
        <v>4.17</v>
      </c>
      <c r="F423" t="n">
        <v>1</v>
      </c>
      <c r="G423" t="n">
        <v>1</v>
      </c>
      <c r="H423" t="inlineStr">
        <is>
          <t>No</t>
        </is>
      </c>
      <c r="I423" t="inlineStr"/>
      <c r="J423" t="n">
        <v>1</v>
      </c>
      <c r="K423" t="n">
        <v>1</v>
      </c>
      <c r="L423" s="5">
        <f>HYPERLINK("https://api.qogita.com/variants/link/4823126601830/", "View Product")</f>
        <v/>
      </c>
    </row>
    <row r="424">
      <c r="A424" t="inlineStr">
        <is>
          <t>4823126601892</t>
        </is>
      </c>
      <c r="B424" t="inlineStr">
        <is>
          <t>STALEKS SMART 40 Half-Moon Mineral Nail File 100/180 Grit - Pack of 25</t>
        </is>
      </c>
      <c r="C424" t="inlineStr">
        <is>
          <t>Nail Clippers &amp; Tools</t>
        </is>
      </c>
      <c r="D424" t="inlineStr">
        <is>
          <t>Staleks</t>
        </is>
      </c>
      <c r="E424" t="n">
        <v>3.95</v>
      </c>
      <c r="F424" t="n">
        <v>1</v>
      </c>
      <c r="G424" t="n">
        <v>10</v>
      </c>
      <c r="H424" t="inlineStr">
        <is>
          <t>No</t>
        </is>
      </c>
      <c r="I424" t="inlineStr"/>
      <c r="J424" t="n">
        <v>1</v>
      </c>
      <c r="K424" t="n">
        <v>10</v>
      </c>
      <c r="L424" s="5">
        <f>HYPERLINK("https://api.qogita.com/variants/link/4823126601892/", "View Product")</f>
        <v/>
      </c>
    </row>
    <row r="425">
      <c r="A425" t="inlineStr">
        <is>
          <t>4823126602035</t>
        </is>
      </c>
      <c r="B425" t="inlineStr">
        <is>
          <t>Staleks Smart 40 Crescent Mineral Nail File 180/240 Grit - Pack of 25</t>
        </is>
      </c>
      <c r="C425" t="inlineStr">
        <is>
          <t>Nail Care</t>
        </is>
      </c>
      <c r="D425" t="inlineStr">
        <is>
          <t>Staleks</t>
        </is>
      </c>
      <c r="E425" t="n">
        <v>4.17</v>
      </c>
      <c r="F425" t="n">
        <v>1</v>
      </c>
      <c r="G425" t="n">
        <v>10</v>
      </c>
      <c r="H425" t="inlineStr">
        <is>
          <t>No</t>
        </is>
      </c>
      <c r="I425" t="inlineStr"/>
      <c r="J425" t="n">
        <v>1</v>
      </c>
      <c r="K425" t="n">
        <v>10</v>
      </c>
      <c r="L425" s="5">
        <f>HYPERLINK("https://api.qogita.com/variants/link/4823126602035/", "View Product")</f>
        <v/>
      </c>
    </row>
    <row r="426">
      <c r="A426" t="inlineStr">
        <is>
          <t>4823126602608</t>
        </is>
      </c>
      <c r="B426" t="inlineStr">
        <is>
          <t>STALEKS PRO Expert 40 Mineral Nail File 150/240 - Professional Quality</t>
        </is>
      </c>
      <c r="C426" t="inlineStr">
        <is>
          <t>Nail Care</t>
        </is>
      </c>
      <c r="D426" t="inlineStr">
        <is>
          <t>Staleks Pro</t>
        </is>
      </c>
      <c r="E426" t="n">
        <v>0.25</v>
      </c>
      <c r="F426" t="n">
        <v>1</v>
      </c>
      <c r="G426" t="n">
        <v>453</v>
      </c>
      <c r="H426" t="inlineStr">
        <is>
          <t>No</t>
        </is>
      </c>
      <c r="I426" t="inlineStr"/>
      <c r="J426" t="n">
        <v>1</v>
      </c>
      <c r="K426" t="n">
        <v>453</v>
      </c>
      <c r="L426" s="5">
        <f>HYPERLINK("https://api.qogita.com/variants/link/4823126602608/", "View Product")</f>
        <v/>
      </c>
    </row>
    <row r="427">
      <c r="A427" t="inlineStr">
        <is>
          <t>4823126602622</t>
        </is>
      </c>
      <c r="B427" t="inlineStr">
        <is>
          <t>STALEKS PRO Expert 20 Straight Nail File 180/240 Grit - 1 Count</t>
        </is>
      </c>
      <c r="C427" t="inlineStr">
        <is>
          <t>Nail Clippers &amp; Tools</t>
        </is>
      </c>
      <c r="D427" t="inlineStr">
        <is>
          <t>Staleks Pro</t>
        </is>
      </c>
      <c r="E427" t="n">
        <v>0.21</v>
      </c>
      <c r="F427" t="n">
        <v>1</v>
      </c>
      <c r="G427" t="n">
        <v>282</v>
      </c>
      <c r="H427" t="inlineStr">
        <is>
          <t>No</t>
        </is>
      </c>
      <c r="I427" t="inlineStr"/>
      <c r="J427" t="n">
        <v>1</v>
      </c>
      <c r="K427" t="n">
        <v>282</v>
      </c>
      <c r="L427" s="5">
        <f>HYPERLINK("https://api.qogita.com/variants/link/4823126602622/", "View Product")</f>
        <v/>
      </c>
    </row>
    <row r="428">
      <c r="A428" t="inlineStr">
        <is>
          <t>5412058150463</t>
        </is>
      </c>
      <c r="B428" t="inlineStr">
        <is>
          <t>Sibel Manicure Cuticle Pushers 10cm - Pack of 10</t>
        </is>
      </c>
      <c r="C428" t="inlineStr">
        <is>
          <t>Cuticle Removers</t>
        </is>
      </c>
      <c r="D428" t="inlineStr">
        <is>
          <t>Sibel</t>
        </is>
      </c>
      <c r="E428" t="n">
        <v>0.9</v>
      </c>
      <c r="F428" t="n">
        <v>1</v>
      </c>
      <c r="G428" t="n">
        <v>16</v>
      </c>
      <c r="H428" t="inlineStr">
        <is>
          <t>No</t>
        </is>
      </c>
      <c r="I428" t="inlineStr"/>
      <c r="J428" t="n">
        <v>1</v>
      </c>
      <c r="K428" t="n">
        <v>16</v>
      </c>
      <c r="L428" s="5">
        <f>HYPERLINK("https://api.qogita.com/variants/link/5412058150463/", "View Product")</f>
        <v/>
      </c>
    </row>
    <row r="429">
      <c r="A429" t="inlineStr">
        <is>
          <t>5412058172946</t>
        </is>
      </c>
      <c r="B429" t="inlineStr">
        <is>
          <t>SIBEL Pro File Disposable Nail File 60 Grit</t>
        </is>
      </c>
      <c r="C429" t="inlineStr">
        <is>
          <t>Nail Care</t>
        </is>
      </c>
      <c r="D429" t="inlineStr">
        <is>
          <t>Sibel</t>
        </is>
      </c>
      <c r="E429" t="n">
        <v>2.1</v>
      </c>
      <c r="F429" t="n">
        <v>1</v>
      </c>
      <c r="G429" t="n">
        <v>75</v>
      </c>
      <c r="H429" t="inlineStr">
        <is>
          <t>No</t>
        </is>
      </c>
      <c r="I429" t="inlineStr"/>
      <c r="J429" t="n">
        <v>1</v>
      </c>
      <c r="K429" t="n">
        <v>75</v>
      </c>
      <c r="L429" s="5">
        <f>HYPERLINK("https://api.qogita.com/variants/link/5412058172946/", "View Product")</f>
        <v/>
      </c>
    </row>
    <row r="430">
      <c r="A430" t="inlineStr">
        <is>
          <t>8000836727654</t>
        </is>
      </c>
      <c r="B430" t="inlineStr">
        <is>
          <t>Beauty Service Nail Smile Fornello</t>
        </is>
      </c>
      <c r="C430" t="inlineStr">
        <is>
          <t>Nail Care</t>
        </is>
      </c>
      <c r="D430" t="inlineStr">
        <is>
          <t>Beauty Service</t>
        </is>
      </c>
      <c r="E430" t="n">
        <v>3.33</v>
      </c>
      <c r="F430" t="n">
        <v>1</v>
      </c>
      <c r="G430" t="n">
        <v>4</v>
      </c>
      <c r="H430" t="inlineStr">
        <is>
          <t>No</t>
        </is>
      </c>
      <c r="I430" t="inlineStr"/>
      <c r="J430" t="n">
        <v>1</v>
      </c>
      <c r="K430" t="n">
        <v>4</v>
      </c>
      <c r="L430" s="5">
        <f>HYPERLINK("https://api.qogita.com/variants/link/8000836727654/", "View Product")</f>
        <v/>
      </c>
    </row>
    <row r="431">
      <c r="A431" t="inlineStr">
        <is>
          <t>8008981003036</t>
        </is>
      </c>
      <c r="B431" t="inlineStr">
        <is>
          <t>Kiepe 3-Way Nail File with Grit 320/600/3000</t>
        </is>
      </c>
      <c r="C431" t="inlineStr">
        <is>
          <t>Nail Clippers &amp; Tools</t>
        </is>
      </c>
      <c r="D431" t="inlineStr">
        <is>
          <t>Kiepe</t>
        </is>
      </c>
      <c r="E431" t="n">
        <v>0.97</v>
      </c>
      <c r="F431" t="n">
        <v>1</v>
      </c>
      <c r="G431" t="n">
        <v>25</v>
      </c>
      <c r="H431" t="inlineStr">
        <is>
          <t>No</t>
        </is>
      </c>
      <c r="I431" t="inlineStr"/>
      <c r="J431" t="n">
        <v>1</v>
      </c>
      <c r="K431" t="n">
        <v>25</v>
      </c>
      <c r="L431" s="5">
        <f>HYPERLINK("https://api.qogita.com/variants/link/8008981003036/", "View Product")</f>
        <v/>
      </c>
    </row>
    <row r="432">
      <c r="A432" t="inlineStr">
        <is>
          <t>8008981004408</t>
        </is>
      </c>
      <c r="B432" t="inlineStr">
        <is>
          <t>Kiepe Professional Universal Blade Stand for Manicure</t>
        </is>
      </c>
      <c r="C432" t="inlineStr">
        <is>
          <t>Manicure Sets</t>
        </is>
      </c>
      <c r="D432" t="inlineStr">
        <is>
          <t>Kiepe Professional</t>
        </is>
      </c>
      <c r="E432" t="n">
        <v>3.47</v>
      </c>
      <c r="F432" t="n">
        <v>1</v>
      </c>
      <c r="G432" t="n">
        <v>1</v>
      </c>
      <c r="H432" t="inlineStr">
        <is>
          <t>No</t>
        </is>
      </c>
      <c r="I432" t="inlineStr"/>
      <c r="J432" t="n">
        <v>1</v>
      </c>
      <c r="K432" t="n">
        <v>1</v>
      </c>
      <c r="L432" s="5">
        <f>HYPERLINK("https://api.qogita.com/variants/link/8008981004408/", "View Product")</f>
        <v/>
      </c>
    </row>
    <row r="433">
      <c r="A433" t="inlineStr">
        <is>
          <t>8008981697143</t>
        </is>
      </c>
      <c r="B433" t="inlineStr">
        <is>
          <t>Kiehl's Kiepe Carbon Steel Nail Nippers Oblique Cut 14cm Handle</t>
        </is>
      </c>
      <c r="C433" t="inlineStr">
        <is>
          <t>Nail Clippers &amp; Tools</t>
        </is>
      </c>
      <c r="D433" t="inlineStr">
        <is>
          <t>Kiehl's</t>
        </is>
      </c>
      <c r="E433" t="n">
        <v>14.96</v>
      </c>
      <c r="F433" t="n">
        <v>1</v>
      </c>
      <c r="G433" t="n">
        <v>3</v>
      </c>
      <c r="H433" t="inlineStr">
        <is>
          <t>No</t>
        </is>
      </c>
      <c r="I433" t="inlineStr"/>
      <c r="J433" t="n">
        <v>1</v>
      </c>
      <c r="K433" t="n">
        <v>3</v>
      </c>
      <c r="L433" s="5">
        <f>HYPERLINK("https://api.qogita.com/variants/link/8008981697143/", "View Product")</f>
        <v/>
      </c>
    </row>
    <row r="434">
      <c r="A434" t="inlineStr">
        <is>
          <t>8012345503384</t>
        </is>
      </c>
      <c r="B434" t="inlineStr">
        <is>
          <t>Labor Pro Ferretto Manicure Cuticle Tool - Professional Stainless Steel</t>
        </is>
      </c>
      <c r="C434" t="inlineStr">
        <is>
          <t>Cuticle Removers</t>
        </is>
      </c>
      <c r="D434" t="inlineStr">
        <is>
          <t>LaborPro</t>
        </is>
      </c>
      <c r="E434" t="n">
        <v>2.72</v>
      </c>
      <c r="F434" t="n">
        <v>1</v>
      </c>
      <c r="G434" t="n">
        <v>1</v>
      </c>
      <c r="H434" t="inlineStr">
        <is>
          <t>No</t>
        </is>
      </c>
      <c r="I434" t="inlineStr"/>
      <c r="J434" t="n">
        <v>1</v>
      </c>
      <c r="K434" t="n">
        <v>1</v>
      </c>
      <c r="L434" s="5">
        <f>HYPERLINK("https://api.qogita.com/variants/link/8012345503384/", "View Product")</f>
        <v/>
      </c>
    </row>
    <row r="435">
      <c r="A435" t="inlineStr">
        <is>
          <t>8012345614318</t>
        </is>
      </c>
      <c r="B435" t="inlineStr">
        <is>
          <t>LABOR PRO SPINGIPELLE Nail Clipper</t>
        </is>
      </c>
      <c r="C435" t="inlineStr">
        <is>
          <t>Nail Clippers &amp; Tools</t>
        </is>
      </c>
      <c r="D435" t="inlineStr">
        <is>
          <t>LaborPro</t>
        </is>
      </c>
      <c r="E435" t="n">
        <v>0.39</v>
      </c>
      <c r="F435" t="n">
        <v>1</v>
      </c>
      <c r="G435" t="n">
        <v>57</v>
      </c>
      <c r="H435" t="inlineStr">
        <is>
          <t>No</t>
        </is>
      </c>
      <c r="I435" t="inlineStr"/>
      <c r="J435" t="n">
        <v>1</v>
      </c>
      <c r="K435" t="n">
        <v>57</v>
      </c>
      <c r="L435" s="5">
        <f>HYPERLINK("https://api.qogita.com/variants/link/8012345614318/", "View Product")</f>
        <v/>
      </c>
    </row>
    <row r="436">
      <c r="A436" t="inlineStr">
        <is>
          <t>8012345622108</t>
        </is>
      </c>
      <c r="B436" t="inlineStr">
        <is>
          <t>Labor Pro Nail Scripper - Professional Pedicure Tool</t>
        </is>
      </c>
      <c r="C436" t="inlineStr">
        <is>
          <t>Nail Clippers &amp; Tools</t>
        </is>
      </c>
      <c r="D436" t="inlineStr">
        <is>
          <t>LaborPro</t>
        </is>
      </c>
      <c r="E436" t="n">
        <v>1.91</v>
      </c>
      <c r="F436" t="n">
        <v>1</v>
      </c>
      <c r="G436" t="n">
        <v>8</v>
      </c>
      <c r="H436" t="inlineStr">
        <is>
          <t>No</t>
        </is>
      </c>
      <c r="I436" t="inlineStr"/>
      <c r="J436" t="n">
        <v>1</v>
      </c>
      <c r="K436" t="n">
        <v>8</v>
      </c>
      <c r="L436" s="5">
        <f>HYPERLINK("https://api.qogita.com/variants/link/8012345622108/", "View Product")</f>
        <v/>
      </c>
    </row>
    <row r="437">
      <c r="A437" t="inlineStr">
        <is>
          <t>8012345622207</t>
        </is>
      </c>
      <c r="B437" t="inlineStr">
        <is>
          <t>Xps Stainless Steel Nail Nipper 12cm</t>
        </is>
      </c>
      <c r="C437" t="inlineStr">
        <is>
          <t>Nail Clippers &amp; Tools</t>
        </is>
      </c>
      <c r="D437" t="inlineStr">
        <is>
          <t>Xps</t>
        </is>
      </c>
      <c r="E437" t="n">
        <v>5.5</v>
      </c>
      <c r="F437" t="n">
        <v>1</v>
      </c>
      <c r="G437" t="n">
        <v>3</v>
      </c>
      <c r="H437" t="inlineStr">
        <is>
          <t>No</t>
        </is>
      </c>
      <c r="I437" t="inlineStr"/>
      <c r="J437" t="n">
        <v>1</v>
      </c>
      <c r="K437" t="n">
        <v>3</v>
      </c>
      <c r="L437" s="5">
        <f>HYPERLINK("https://api.qogita.com/variants/link/8012345622207/", "View Product")</f>
        <v/>
      </c>
    </row>
    <row r="438">
      <c r="A438" t="inlineStr">
        <is>
          <t>8012345622245</t>
        </is>
      </c>
      <c r="B438" t="inlineStr">
        <is>
          <t>Labor Pro Satin Finish Nail Clipper 14mm</t>
        </is>
      </c>
      <c r="C438" t="inlineStr">
        <is>
          <t>Nail Clippers &amp; Tools</t>
        </is>
      </c>
      <c r="D438" t="inlineStr">
        <is>
          <t>LaborPro</t>
        </is>
      </c>
      <c r="E438" t="n">
        <v>8.32</v>
      </c>
      <c r="F438" t="n">
        <v>1</v>
      </c>
      <c r="G438" t="n">
        <v>7</v>
      </c>
      <c r="H438" t="inlineStr">
        <is>
          <t>No</t>
        </is>
      </c>
      <c r="I438" t="inlineStr"/>
      <c r="J438" t="n">
        <v>1</v>
      </c>
      <c r="K438" t="n">
        <v>7</v>
      </c>
      <c r="L438" s="5">
        <f>HYPERLINK("https://api.qogita.com/variants/link/8012345622245/", "View Product")</f>
        <v/>
      </c>
    </row>
    <row r="439">
      <c r="A439" t="inlineStr">
        <is>
          <t>8012345622269</t>
        </is>
      </c>
      <c r="B439" t="inlineStr">
        <is>
          <t>Labor Pro Nail Clipper 7mm</t>
        </is>
      </c>
      <c r="C439" t="inlineStr">
        <is>
          <t>Nail Clippers &amp; Tools</t>
        </is>
      </c>
      <c r="D439" t="inlineStr">
        <is>
          <t>LaborPro</t>
        </is>
      </c>
      <c r="E439" t="n">
        <v>5.84</v>
      </c>
      <c r="F439" t="n">
        <v>1</v>
      </c>
      <c r="G439" t="n">
        <v>13</v>
      </c>
      <c r="H439" t="inlineStr">
        <is>
          <t>No</t>
        </is>
      </c>
      <c r="I439" t="inlineStr"/>
      <c r="J439" t="n">
        <v>1</v>
      </c>
      <c r="K439" t="n">
        <v>13</v>
      </c>
      <c r="L439" s="5">
        <f>HYPERLINK("https://api.qogita.com/variants/link/8012345622269/", "View Product")</f>
        <v/>
      </c>
    </row>
    <row r="440">
      <c r="A440" t="inlineStr">
        <is>
          <t>8012345623969</t>
        </is>
      </c>
      <c r="B440" t="inlineStr">
        <is>
          <t>Labor Pro Ferretto Manicure Tool</t>
        </is>
      </c>
      <c r="C440" t="inlineStr">
        <is>
          <t>Nail Clippers &amp; Tools</t>
        </is>
      </c>
      <c r="D440" t="inlineStr">
        <is>
          <t>LaborPro</t>
        </is>
      </c>
      <c r="E440" t="n">
        <v>2.17</v>
      </c>
      <c r="F440" t="n">
        <v>1</v>
      </c>
      <c r="G440" t="n">
        <v>6</v>
      </c>
      <c r="H440" t="inlineStr">
        <is>
          <t>No</t>
        </is>
      </c>
      <c r="I440" t="inlineStr"/>
      <c r="J440" t="n">
        <v>1</v>
      </c>
      <c r="K440" t="n">
        <v>6</v>
      </c>
      <c r="L440" s="5">
        <f>HYPERLINK("https://api.qogita.com/variants/link/8012345623969/", "View Product")</f>
        <v/>
      </c>
    </row>
    <row r="441">
      <c r="A441" t="inlineStr">
        <is>
          <t>8019622232739</t>
        </is>
      </c>
      <c r="B441" t="inlineStr">
        <is>
          <t>Xanitalia Pro Xan Pro Pack Of 10 Disposable Double-Sided Mini Files</t>
        </is>
      </c>
      <c r="C441" t="inlineStr">
        <is>
          <t>Manicure Sets</t>
        </is>
      </c>
      <c r="D441" t="inlineStr">
        <is>
          <t>Xanitalia</t>
        </is>
      </c>
      <c r="E441" t="n">
        <v>1.11</v>
      </c>
      <c r="F441" t="n">
        <v>1</v>
      </c>
      <c r="G441" t="n">
        <v>8</v>
      </c>
      <c r="H441" t="inlineStr">
        <is>
          <t>No</t>
        </is>
      </c>
      <c r="I441" t="inlineStr"/>
      <c r="J441" t="n">
        <v>1</v>
      </c>
      <c r="K441" t="n">
        <v>8</v>
      </c>
      <c r="L441" s="5">
        <f>HYPERLINK("https://api.qogita.com/variants/link/8019622232739/", "View Product")</f>
        <v/>
      </c>
    </row>
    <row r="442">
      <c r="A442" t="inlineStr">
        <is>
          <t>8019622232746</t>
        </is>
      </c>
      <c r="B442" t="inlineStr">
        <is>
          <t>Xanitalia Pro Xan Pro Pack Of 10 Mini Double-Sided Disposable Files</t>
        </is>
      </c>
      <c r="C442" t="inlineStr">
        <is>
          <t>Manicure Sets</t>
        </is>
      </c>
      <c r="D442" t="inlineStr">
        <is>
          <t>Xanitalia</t>
        </is>
      </c>
      <c r="E442" t="n">
        <v>1.17</v>
      </c>
      <c r="F442" t="n">
        <v>1</v>
      </c>
      <c r="G442" t="n">
        <v>23</v>
      </c>
      <c r="H442" t="inlineStr">
        <is>
          <t>No</t>
        </is>
      </c>
      <c r="I442" t="inlineStr"/>
      <c r="J442" t="n">
        <v>1</v>
      </c>
      <c r="K442" t="n">
        <v>23</v>
      </c>
      <c r="L442" s="5">
        <f>HYPERLINK("https://api.qogita.com/variants/link/8019622232746/", "View Product")</f>
        <v/>
      </c>
    </row>
    <row r="443">
      <c r="A443" t="inlineStr">
        <is>
          <t>8019622232753</t>
        </is>
      </c>
      <c r="B443" t="inlineStr">
        <is>
          <t>Xanitalia Pro Xan Pro Pack Of 10 Fine Double-Sided Disposable Mini Files</t>
        </is>
      </c>
      <c r="C443" t="inlineStr">
        <is>
          <t>Manicure Sets</t>
        </is>
      </c>
      <c r="D443" t="inlineStr">
        <is>
          <t>Xanitalia</t>
        </is>
      </c>
      <c r="E443" t="n">
        <v>1.42</v>
      </c>
      <c r="F443" t="n">
        <v>1</v>
      </c>
      <c r="G443" t="n">
        <v>2</v>
      </c>
      <c r="H443" t="inlineStr">
        <is>
          <t>No</t>
        </is>
      </c>
      <c r="I443" t="inlineStr"/>
      <c r="J443" t="n">
        <v>2</v>
      </c>
      <c r="K443" t="n">
        <v>18</v>
      </c>
      <c r="L443" s="5">
        <f>HYPERLINK("https://api.qogita.com/variants/link/8019622232753/", "View Product")</f>
        <v/>
      </c>
    </row>
    <row r="444">
      <c r="A444" t="inlineStr">
        <is>
          <t>8019622281171</t>
        </is>
      </c>
      <c r="B444" t="inlineStr">
        <is>
          <t>Natural Pumice Ball Tip Cutter</t>
        </is>
      </c>
      <c r="C444" t="inlineStr">
        <is>
          <t>Cuticle Removers</t>
        </is>
      </c>
      <c r="D444" t="inlineStr">
        <is>
          <t>Xanitalia</t>
        </is>
      </c>
      <c r="E444" t="n">
        <v>1.03</v>
      </c>
      <c r="F444" t="n">
        <v>1</v>
      </c>
      <c r="G444" t="n">
        <v>4</v>
      </c>
      <c r="H444" t="inlineStr">
        <is>
          <t>No</t>
        </is>
      </c>
      <c r="I444" t="inlineStr"/>
      <c r="J444" t="n">
        <v>1</v>
      </c>
      <c r="K444" t="n">
        <v>4</v>
      </c>
      <c r="L444" s="5">
        <f>HYPERLINK("https://api.qogita.com/variants/link/8019622281171/", "View Product")</f>
        <v/>
      </c>
    </row>
    <row r="445">
      <c r="A445" t="inlineStr">
        <is>
          <t>8019622281447</t>
        </is>
      </c>
      <c r="B445" t="inlineStr">
        <is>
          <t>Beauty360 Cuticle Pusher</t>
        </is>
      </c>
      <c r="C445" t="inlineStr">
        <is>
          <t>Cuticle Removers</t>
        </is>
      </c>
      <c r="D445" t="inlineStr">
        <is>
          <t>Beauty360</t>
        </is>
      </c>
      <c r="E445" t="n">
        <v>2.08</v>
      </c>
      <c r="F445" t="n">
        <v>1</v>
      </c>
      <c r="G445" t="n">
        <v>3</v>
      </c>
      <c r="H445" t="inlineStr">
        <is>
          <t>No</t>
        </is>
      </c>
      <c r="I445" t="inlineStr"/>
      <c r="J445" t="n">
        <v>1</v>
      </c>
      <c r="K445" t="n">
        <v>3</v>
      </c>
      <c r="L445" s="5">
        <f>HYPERLINK("https://api.qogita.com/variants/link/8019622281447/", "View Product")</f>
        <v/>
      </c>
    </row>
    <row r="446">
      <c r="A446" t="inlineStr">
        <is>
          <t>8019622281621</t>
        </is>
      </c>
      <c r="B446" t="inlineStr">
        <is>
          <t>Beauty360 Long Point Nail Scissors</t>
        </is>
      </c>
      <c r="C446" t="inlineStr">
        <is>
          <t>Nail Clippers &amp; Tools</t>
        </is>
      </c>
      <c r="D446" t="inlineStr">
        <is>
          <t>Beauty360</t>
        </is>
      </c>
      <c r="E446" t="n">
        <v>2.59</v>
      </c>
      <c r="F446" t="n">
        <v>1</v>
      </c>
      <c r="G446" t="n">
        <v>4</v>
      </c>
      <c r="H446" t="inlineStr">
        <is>
          <t>No</t>
        </is>
      </c>
      <c r="I446" t="inlineStr"/>
      <c r="J446" t="n">
        <v>2</v>
      </c>
      <c r="K446" t="n">
        <v>5</v>
      </c>
      <c r="L446" s="5">
        <f>HYPERLINK("https://api.qogita.com/variants/link/8019622281621/", "View Product")</f>
        <v/>
      </c>
    </row>
    <row r="447">
      <c r="A447" t="inlineStr">
        <is>
          <t>8019622979078</t>
        </is>
      </c>
      <c r="B447" t="inlineStr">
        <is>
          <t>Xanitalia Pro Cuticle Nipper and Nail Nipper Stainless Steel Straight Tip 150g</t>
        </is>
      </c>
      <c r="C447" t="inlineStr">
        <is>
          <t>Nail Clippers &amp; Tools</t>
        </is>
      </c>
      <c r="D447" t="inlineStr">
        <is>
          <t>Xanitalia</t>
        </is>
      </c>
      <c r="E447" t="n">
        <v>8.94</v>
      </c>
      <c r="F447" t="n">
        <v>1</v>
      </c>
      <c r="G447" t="n">
        <v>5</v>
      </c>
      <c r="H447" t="inlineStr">
        <is>
          <t>No</t>
        </is>
      </c>
      <c r="I447" t="inlineStr"/>
      <c r="J447" t="n">
        <v>1</v>
      </c>
      <c r="K447" t="n">
        <v>5</v>
      </c>
      <c r="L447" s="5">
        <f>HYPERLINK("https://api.qogita.com/variants/link/8019622979078/", "View Product")</f>
        <v/>
      </c>
    </row>
    <row r="448">
      <c r="A448" t="inlineStr">
        <is>
          <t>8019622979085</t>
        </is>
      </c>
      <c r="B448" t="inlineStr">
        <is>
          <t>Xanitalia Pro Xan Pro Round Tip Cuticle Nipper</t>
        </is>
      </c>
      <c r="C448" t="inlineStr">
        <is>
          <t>Cuticle Removers</t>
        </is>
      </c>
      <c r="D448" t="inlineStr">
        <is>
          <t>Xanitalia</t>
        </is>
      </c>
      <c r="E448" t="n">
        <v>9.43</v>
      </c>
      <c r="F448" t="n">
        <v>1</v>
      </c>
      <c r="G448" t="n">
        <v>4</v>
      </c>
      <c r="H448" t="inlineStr">
        <is>
          <t>No</t>
        </is>
      </c>
      <c r="I448" t="inlineStr"/>
      <c r="J448" t="n">
        <v>1</v>
      </c>
      <c r="K448" t="n">
        <v>4</v>
      </c>
      <c r="L448" s="5">
        <f>HYPERLINK("https://api.qogita.com/variants/link/8019622979085/", "View Product")</f>
        <v/>
      </c>
    </row>
    <row r="449">
      <c r="A449" t="inlineStr">
        <is>
          <t>8019622979092</t>
        </is>
      </c>
      <c r="B449" t="inlineStr">
        <is>
          <t>Beauty360 Round Tip Ingrown Toenail Cuticle Clipper</t>
        </is>
      </c>
      <c r="C449" t="inlineStr">
        <is>
          <t>Nail Clippers &amp; Tools</t>
        </is>
      </c>
      <c r="D449" t="inlineStr">
        <is>
          <t>Beauty360</t>
        </is>
      </c>
      <c r="E449" t="n">
        <v>9.369999999999999</v>
      </c>
      <c r="F449" t="n">
        <v>1</v>
      </c>
      <c r="G449" t="n">
        <v>1</v>
      </c>
      <c r="H449" t="inlineStr">
        <is>
          <t>No</t>
        </is>
      </c>
      <c r="I449" t="inlineStr"/>
      <c r="J449" t="n">
        <v>1</v>
      </c>
      <c r="K449" t="n">
        <v>1</v>
      </c>
      <c r="L449" s="5">
        <f>HYPERLINK("https://api.qogita.com/variants/link/8019622979092/", "View Product")</f>
        <v/>
      </c>
    </row>
    <row r="450">
      <c r="A450" t="inlineStr">
        <is>
          <t>8032790855487</t>
        </is>
      </c>
      <c r="B450" t="inlineStr">
        <is>
          <t>CIESSE Ferro for Manicure with Flat Tip</t>
        </is>
      </c>
      <c r="C450" t="inlineStr">
        <is>
          <t>Manicure Sets</t>
        </is>
      </c>
      <c r="D450" t="inlineStr">
        <is>
          <t>Ciesse</t>
        </is>
      </c>
      <c r="E450" t="n">
        <v>2.1</v>
      </c>
      <c r="F450" t="n">
        <v>1</v>
      </c>
      <c r="G450" t="n">
        <v>4</v>
      </c>
      <c r="H450" t="inlineStr">
        <is>
          <t>No</t>
        </is>
      </c>
      <c r="I450" t="inlineStr"/>
      <c r="J450" t="n">
        <v>1</v>
      </c>
      <c r="K450" t="n">
        <v>4</v>
      </c>
      <c r="L450" s="5">
        <f>HYPERLINK("https://api.qogita.com/variants/link/8032790855487/", "View Product")</f>
        <v/>
      </c>
    </row>
    <row r="451">
      <c r="A451" t="inlineStr">
        <is>
          <t>8032790855524</t>
        </is>
      </c>
      <c r="B451" t="inlineStr">
        <is>
          <t>CIESSE Stainless Steel Manicure Tool with Curved Right Tip</t>
        </is>
      </c>
      <c r="C451" t="inlineStr">
        <is>
          <t>Nail Clippers &amp; Tools</t>
        </is>
      </c>
      <c r="D451" t="inlineStr">
        <is>
          <t>Ciesse</t>
        </is>
      </c>
      <c r="E451" t="n">
        <v>1.86</v>
      </c>
      <c r="F451" t="n">
        <v>1</v>
      </c>
      <c r="G451" t="n">
        <v>5</v>
      </c>
      <c r="H451" t="inlineStr">
        <is>
          <t>No</t>
        </is>
      </c>
      <c r="I451" t="inlineStr"/>
      <c r="J451" t="n">
        <v>1</v>
      </c>
      <c r="K451" t="n">
        <v>5</v>
      </c>
      <c r="L451" s="5">
        <f>HYPERLINK("https://api.qogita.com/variants/link/8032790855524/", "View Product")</f>
        <v/>
      </c>
    </row>
    <row r="452">
      <c r="A452" t="inlineStr">
        <is>
          <t>8033524893881</t>
        </is>
      </c>
      <c r="B452" t="inlineStr">
        <is>
          <t>Clarissa Nail Mist 005 Talc</t>
        </is>
      </c>
      <c r="C452" t="inlineStr">
        <is>
          <t>Nail Care</t>
        </is>
      </c>
      <c r="D452" t="inlineStr">
        <is>
          <t>Clarissa</t>
        </is>
      </c>
      <c r="E452" t="n">
        <v>3.73</v>
      </c>
      <c r="F452" t="n">
        <v>1</v>
      </c>
      <c r="G452" t="n">
        <v>2</v>
      </c>
      <c r="H452" t="inlineStr">
        <is>
          <t>No</t>
        </is>
      </c>
      <c r="I452" t="inlineStr"/>
      <c r="J452" t="n">
        <v>1</v>
      </c>
      <c r="K452" t="n">
        <v>2</v>
      </c>
      <c r="L452" s="5">
        <f>HYPERLINK("https://api.qogita.com/variants/link/8033524893881/", "View Product")</f>
        <v/>
      </c>
    </row>
    <row r="453">
      <c r="A453" t="inlineStr">
        <is>
          <t>8034135957641</t>
        </is>
      </c>
      <c r="B453" t="inlineStr">
        <is>
          <t>MP HAIR Pusher Wood - Manicure/Pedicure</t>
        </is>
      </c>
      <c r="C453" t="inlineStr">
        <is>
          <t>Manicure Sets</t>
        </is>
      </c>
      <c r="D453" t="inlineStr">
        <is>
          <t>Mp Hair</t>
        </is>
      </c>
      <c r="E453" t="n">
        <v>1.08</v>
      </c>
      <c r="F453" t="n">
        <v>1</v>
      </c>
      <c r="G453" t="n">
        <v>3</v>
      </c>
      <c r="H453" t="inlineStr">
        <is>
          <t>No</t>
        </is>
      </c>
      <c r="I453" t="inlineStr"/>
      <c r="J453" t="n">
        <v>1</v>
      </c>
      <c r="K453" t="n">
        <v>3</v>
      </c>
      <c r="L453" s="5">
        <f>HYPERLINK("https://api.qogita.com/variants/link/8034135957641/", "View Product")</f>
        <v/>
      </c>
    </row>
    <row r="454">
      <c r="A454" t="inlineStr">
        <is>
          <t>8050712008001</t>
        </is>
      </c>
      <c r="B454" t="inlineStr">
        <is>
          <t>Xanitaliapro Cuticle Nipper Blade 3mm Length 12cm</t>
        </is>
      </c>
      <c r="C454" t="inlineStr">
        <is>
          <t>Nail Clippers &amp; Tools</t>
        </is>
      </c>
      <c r="D454" t="inlineStr">
        <is>
          <t>Xanitalia</t>
        </is>
      </c>
      <c r="E454" t="n">
        <v>4.66</v>
      </c>
      <c r="F454" t="n">
        <v>1</v>
      </c>
      <c r="G454" t="n">
        <v>10</v>
      </c>
      <c r="H454" t="inlineStr">
        <is>
          <t>No</t>
        </is>
      </c>
      <c r="I454" t="inlineStr"/>
      <c r="J454" t="n">
        <v>2</v>
      </c>
      <c r="K454" t="n">
        <v>13</v>
      </c>
      <c r="L454" s="5">
        <f>HYPERLINK("https://api.qogita.com/variants/link/8050712008001/", "View Product")</f>
        <v/>
      </c>
    </row>
    <row r="455">
      <c r="A455" t="inlineStr">
        <is>
          <t>8050712008025</t>
        </is>
      </c>
      <c r="B455" t="inlineStr">
        <is>
          <t>Xanitalia Xanitaliapro Cuticle Nipper Blade 7mm Blade Length 12cm Total Length</t>
        </is>
      </c>
      <c r="C455" t="inlineStr">
        <is>
          <t>Cuticle Removers</t>
        </is>
      </c>
      <c r="D455" t="inlineStr">
        <is>
          <t>Xanitalia</t>
        </is>
      </c>
      <c r="E455" t="n">
        <v>4.66</v>
      </c>
      <c r="F455" t="n">
        <v>1</v>
      </c>
      <c r="G455" t="n">
        <v>9</v>
      </c>
      <c r="H455" t="inlineStr">
        <is>
          <t>No</t>
        </is>
      </c>
      <c r="I455" t="inlineStr"/>
      <c r="J455" t="n">
        <v>2</v>
      </c>
      <c r="K455" t="n">
        <v>10</v>
      </c>
      <c r="L455" s="5">
        <f>HYPERLINK("https://api.qogita.com/variants/link/8050712008025/", "View Product")</f>
        <v/>
      </c>
    </row>
    <row r="456">
      <c r="A456" t="inlineStr">
        <is>
          <t>8052469793896</t>
        </is>
      </c>
      <c r="B456" t="inlineStr">
        <is>
          <t>Mnp Tip Glue 7.5g - General Beauty Care</t>
        </is>
      </c>
      <c r="C456" t="inlineStr">
        <is>
          <t>Nail Care</t>
        </is>
      </c>
      <c r="D456" t="inlineStr">
        <is>
          <t>Mnp</t>
        </is>
      </c>
      <c r="E456" t="n">
        <v>2.29</v>
      </c>
      <c r="F456" t="n">
        <v>1</v>
      </c>
      <c r="G456" t="n">
        <v>3</v>
      </c>
      <c r="H456" t="inlineStr">
        <is>
          <t>No</t>
        </is>
      </c>
      <c r="I456" t="inlineStr"/>
      <c r="J456" t="n">
        <v>1</v>
      </c>
      <c r="K456" t="n">
        <v>3</v>
      </c>
      <c r="L456" s="5">
        <f>HYPERLINK("https://api.qogita.com/variants/link/8052469793896/", "View Product")</f>
        <v/>
      </c>
    </row>
    <row r="457">
      <c r="A457" t="inlineStr">
        <is>
          <t>8052469798310</t>
        </is>
      </c>
      <c r="B457" t="inlineStr">
        <is>
          <t>My Nail Pro Lima Arch Zebra Nail File Dark Pink 180/180 - Pack of 6</t>
        </is>
      </c>
      <c r="C457" t="inlineStr">
        <is>
          <t>Nail Care</t>
        </is>
      </c>
      <c r="D457" t="inlineStr">
        <is>
          <t>My Nail Pro</t>
        </is>
      </c>
      <c r="E457" t="n">
        <v>5.27</v>
      </c>
      <c r="F457" t="n">
        <v>1</v>
      </c>
      <c r="G457" t="n">
        <v>1</v>
      </c>
      <c r="H457" t="inlineStr">
        <is>
          <t>No</t>
        </is>
      </c>
      <c r="I457" t="inlineStr"/>
      <c r="J457" t="n">
        <v>1</v>
      </c>
      <c r="K457" t="n">
        <v>1</v>
      </c>
      <c r="L457" s="5">
        <f>HYPERLINK("https://api.qogita.com/variants/link/8052469798310/", "View Product")</f>
        <v/>
      </c>
    </row>
    <row r="458">
      <c r="A458" t="inlineStr">
        <is>
          <t>8054382995456</t>
        </is>
      </c>
      <c r="B458" t="inlineStr">
        <is>
          <t>Mesauda Milano Nail Pro Straight File Zebra 100180 Pack Of 6</t>
        </is>
      </c>
      <c r="C458" t="inlineStr">
        <is>
          <t>Manicure Sets</t>
        </is>
      </c>
      <c r="D458" t="inlineStr">
        <is>
          <t>Mesauda Milano</t>
        </is>
      </c>
      <c r="E458" t="n">
        <v>2.62</v>
      </c>
      <c r="F458" t="n">
        <v>1</v>
      </c>
      <c r="G458" t="n">
        <v>4</v>
      </c>
      <c r="H458" t="inlineStr">
        <is>
          <t>No</t>
        </is>
      </c>
      <c r="I458" t="inlineStr"/>
      <c r="J458" t="n">
        <v>1</v>
      </c>
      <c r="K458" t="n">
        <v>4</v>
      </c>
      <c r="L458" s="5">
        <f>HYPERLINK("https://api.qogita.com/variants/link/8054382995456/", "View Product")</f>
        <v/>
      </c>
    </row>
    <row r="459">
      <c r="A459" t="inlineStr">
        <is>
          <t>8055510087395</t>
        </is>
      </c>
      <c r="B459" t="inlineStr">
        <is>
          <t>Astra Pure Beauty Peach Nail Serum Nail And Cuticle Serum</t>
        </is>
      </c>
      <c r="C459" t="inlineStr">
        <is>
          <t>Nail Oil</t>
        </is>
      </c>
      <c r="D459" t="inlineStr">
        <is>
          <t>Astra</t>
        </is>
      </c>
      <c r="E459" t="n">
        <v>2.37</v>
      </c>
      <c r="F459" t="n">
        <v>1</v>
      </c>
      <c r="G459" t="n">
        <v>1</v>
      </c>
      <c r="H459" t="inlineStr">
        <is>
          <t>No</t>
        </is>
      </c>
      <c r="I459" t="inlineStr"/>
      <c r="J459" t="n">
        <v>1</v>
      </c>
      <c r="K459" t="n">
        <v>1</v>
      </c>
      <c r="L459" s="5">
        <f>HYPERLINK("https://api.qogita.com/variants/link/8055510087395/", "View Product")</f>
        <v/>
      </c>
    </row>
    <row r="460">
      <c r="A460" t="inlineStr">
        <is>
          <t>8056364374112</t>
        </is>
      </c>
      <c r="B460" t="inlineStr">
        <is>
          <t>Mesuada Royal Fancy Natural Tips 50 Count</t>
        </is>
      </c>
      <c r="C460" t="inlineStr">
        <is>
          <t>Nail Care</t>
        </is>
      </c>
      <c r="D460" t="inlineStr">
        <is>
          <t>Mesuada</t>
        </is>
      </c>
      <c r="E460" t="n">
        <v>0.86</v>
      </c>
      <c r="F460" t="n">
        <v>1</v>
      </c>
      <c r="G460" t="n">
        <v>1</v>
      </c>
      <c r="H460" t="inlineStr">
        <is>
          <t>No</t>
        </is>
      </c>
      <c r="I460" t="inlineStr"/>
      <c r="J460" t="n">
        <v>1</v>
      </c>
      <c r="K460" t="n">
        <v>1</v>
      </c>
      <c r="L460" s="5">
        <f>HYPERLINK("https://api.qogita.com/variants/link/8056364374112/", "View Product")</f>
        <v/>
      </c>
    </row>
    <row r="461">
      <c r="A461" t="inlineStr">
        <is>
          <t>8056364374129</t>
        </is>
      </c>
      <c r="B461" t="inlineStr">
        <is>
          <t>Mesuada Royal Fancy Natural Tips 50 Count</t>
        </is>
      </c>
      <c r="C461" t="inlineStr">
        <is>
          <t>Nail Care</t>
        </is>
      </c>
      <c r="D461" t="inlineStr">
        <is>
          <t>Mesuada</t>
        </is>
      </c>
      <c r="E461" t="n">
        <v>0.86</v>
      </c>
      <c r="F461" t="n">
        <v>1</v>
      </c>
      <c r="G461" t="n">
        <v>2</v>
      </c>
      <c r="H461" t="inlineStr">
        <is>
          <t>No</t>
        </is>
      </c>
      <c r="I461" t="inlineStr"/>
      <c r="J461" t="n">
        <v>1</v>
      </c>
      <c r="K461" t="n">
        <v>2</v>
      </c>
      <c r="L461" s="5">
        <f>HYPERLINK("https://api.qogita.com/variants/link/8056364374129/", "View Product")</f>
        <v/>
      </c>
    </row>
    <row r="462">
      <c r="A462" t="inlineStr">
        <is>
          <t>8056999335069</t>
        </is>
      </c>
      <c r="B462" t="inlineStr">
        <is>
          <t>Mesauda Mnp Emollient Gel For Cuticles</t>
        </is>
      </c>
      <c r="C462" t="inlineStr">
        <is>
          <t>Cuticle Removers</t>
        </is>
      </c>
      <c r="D462" t="inlineStr">
        <is>
          <t>Mesauda</t>
        </is>
      </c>
      <c r="E462" t="n">
        <v>2.13</v>
      </c>
      <c r="F462" t="n">
        <v>1</v>
      </c>
      <c r="G462" t="n">
        <v>1</v>
      </c>
      <c r="H462" t="inlineStr">
        <is>
          <t>No</t>
        </is>
      </c>
      <c r="I462" t="inlineStr"/>
      <c r="J462" t="n">
        <v>1</v>
      </c>
      <c r="K462" t="n">
        <v>1</v>
      </c>
      <c r="L462" s="5">
        <f>HYPERLINK("https://api.qogita.com/variants/link/8056999335069/", "View Product")</f>
        <v/>
      </c>
    </row>
    <row r="463">
      <c r="A463" t="inlineStr">
        <is>
          <t>8056999335083</t>
        </is>
      </c>
      <c r="B463" t="inlineStr">
        <is>
          <t>Mnp Nail Care 304 Cutie Oil 10 Milliliters</t>
        </is>
      </c>
      <c r="C463" t="inlineStr">
        <is>
          <t>Nail Oil</t>
        </is>
      </c>
      <c r="D463" t="inlineStr">
        <is>
          <t>Mnp</t>
        </is>
      </c>
      <c r="E463" t="n">
        <v>3.1</v>
      </c>
      <c r="F463" t="n">
        <v>1</v>
      </c>
      <c r="G463" t="n">
        <v>4</v>
      </c>
      <c r="H463" t="inlineStr">
        <is>
          <t>No</t>
        </is>
      </c>
      <c r="I463" t="inlineStr"/>
      <c r="J463" t="n">
        <v>1</v>
      </c>
      <c r="K463" t="n">
        <v>4</v>
      </c>
      <c r="L463" s="5">
        <f>HYPERLINK("https://api.qogita.com/variants/link/8056999335083/", "View Product")</f>
        <v/>
      </c>
    </row>
    <row r="464">
      <c r="A464" t="inlineStr">
        <is>
          <t>8120059041549</t>
        </is>
      </c>
      <c r="B464" t="inlineStr">
        <is>
          <t>Beauty Service Manichino Sandra Brown Dress Form</t>
        </is>
      </c>
      <c r="C464" t="inlineStr">
        <is>
          <t>Nail Care</t>
        </is>
      </c>
      <c r="D464" t="inlineStr">
        <is>
          <t>Beauty Service</t>
        </is>
      </c>
      <c r="E464" t="n">
        <v>52.31</v>
      </c>
      <c r="F464" t="n">
        <v>1</v>
      </c>
      <c r="G464" t="n">
        <v>12</v>
      </c>
      <c r="H464" t="inlineStr">
        <is>
          <t>No</t>
        </is>
      </c>
      <c r="I464" t="inlineStr"/>
      <c r="J464" t="n">
        <v>1</v>
      </c>
      <c r="K464" t="n">
        <v>12</v>
      </c>
      <c r="L464" s="5">
        <f>HYPERLINK("https://api.qogita.com/variants/link/8120059041549/", "View Product")</f>
        <v/>
      </c>
    </row>
    <row r="465">
      <c r="A465" t="inlineStr">
        <is>
          <t>8436591929062</t>
        </is>
      </c>
      <c r="B465" t="inlineStr">
        <is>
          <t>Idc Institute Manicure Set 3 Pieces</t>
        </is>
      </c>
      <c r="C465" t="inlineStr">
        <is>
          <t>Manicure Sets</t>
        </is>
      </c>
      <c r="D465" t="inlineStr">
        <is>
          <t>Idc Institute</t>
        </is>
      </c>
      <c r="E465" t="n">
        <v>2.16</v>
      </c>
      <c r="F465" t="n">
        <v>1</v>
      </c>
      <c r="G465" t="n">
        <v>12</v>
      </c>
      <c r="H465" t="inlineStr">
        <is>
          <t>No</t>
        </is>
      </c>
      <c r="I465" t="inlineStr"/>
      <c r="J465" t="n">
        <v>1</v>
      </c>
      <c r="K465" t="n">
        <v>12</v>
      </c>
      <c r="L465" s="5">
        <f>HYPERLINK("https://api.qogita.com/variants/link/8436591929062/", "View Product")</f>
        <v/>
      </c>
    </row>
    <row r="466">
      <c r="A466" t="inlineStr">
        <is>
          <t>8011607219896</t>
        </is>
      </c>
      <c r="B466" t="inlineStr">
        <is>
          <t>PUPA Multi Nail Care 7 in 1 Nail Treatment 5ml</t>
        </is>
      </c>
      <c r="C466" t="inlineStr">
        <is>
          <t>Nail Oil</t>
        </is>
      </c>
      <c r="D466" t="inlineStr">
        <is>
          <t>Pupa</t>
        </is>
      </c>
      <c r="E466" t="n">
        <v>2.74</v>
      </c>
      <c r="F466" t="n">
        <v>1</v>
      </c>
      <c r="G466" t="n">
        <v>3</v>
      </c>
      <c r="H466" t="inlineStr">
        <is>
          <t>No</t>
        </is>
      </c>
      <c r="I466" t="inlineStr"/>
      <c r="J466" t="n">
        <v>1</v>
      </c>
      <c r="K466" t="n">
        <v>3</v>
      </c>
      <c r="L466" s="5">
        <f>HYPERLINK("https://api.qogita.com/variants/link/8011607219896/", "View Product")</f>
        <v/>
      </c>
    </row>
    <row r="467">
      <c r="A467" t="inlineStr">
        <is>
          <t>8003921130711</t>
        </is>
      </c>
      <c r="B467" t="inlineStr">
        <is>
          <t>Gabbiano Lima Unghie 13071 Manicure E Pedicure</t>
        </is>
      </c>
      <c r="C467" t="inlineStr">
        <is>
          <t>Manicure Sets</t>
        </is>
      </c>
      <c r="D467" t="inlineStr">
        <is>
          <t>‎Gabbiano</t>
        </is>
      </c>
      <c r="E467" t="n">
        <v>1.6</v>
      </c>
      <c r="F467" t="n">
        <v>1</v>
      </c>
      <c r="G467" t="n">
        <v>31</v>
      </c>
      <c r="H467" t="inlineStr">
        <is>
          <t>No</t>
        </is>
      </c>
      <c r="I467" t="inlineStr"/>
      <c r="J467" t="n">
        <v>1</v>
      </c>
      <c r="K467" t="n">
        <v>31</v>
      </c>
      <c r="L467" s="5">
        <f>HYPERLINK("https://api.qogita.com/variants/link/8003921130711/", "View Product")</f>
        <v/>
      </c>
    </row>
    <row r="468">
      <c r="A468" t="inlineStr">
        <is>
          <t>8003921131114</t>
        </is>
      </c>
      <c r="B468" t="inlineStr">
        <is>
          <t>Elison Lime Nail Polish 6ml</t>
        </is>
      </c>
      <c r="C468" t="inlineStr">
        <is>
          <t>Nail Oil</t>
        </is>
      </c>
      <c r="D468" t="inlineStr">
        <is>
          <t>Ellison</t>
        </is>
      </c>
      <c r="E468" t="n">
        <v>1.5</v>
      </c>
      <c r="F468" t="n">
        <v>1</v>
      </c>
      <c r="G468" t="n">
        <v>40</v>
      </c>
      <c r="H468" t="inlineStr">
        <is>
          <t>No</t>
        </is>
      </c>
      <c r="I468" t="inlineStr"/>
      <c r="J468" t="n">
        <v>1</v>
      </c>
      <c r="K468" t="n">
        <v>40</v>
      </c>
      <c r="L468" s="5">
        <f>HYPERLINK("https://api.qogita.com/variants/link/8003921131114/", "View Product")</f>
        <v/>
      </c>
    </row>
    <row r="469">
      <c r="A469" t="inlineStr">
        <is>
          <t>8003921133149</t>
        </is>
      </c>
      <c r="B469" t="inlineStr">
        <is>
          <t>Elison Nail Clippers 13314</t>
        </is>
      </c>
      <c r="C469" t="inlineStr">
        <is>
          <t>Nail Clippers &amp; Tools</t>
        </is>
      </c>
      <c r="D469" t="inlineStr">
        <is>
          <t>Ellison</t>
        </is>
      </c>
      <c r="E469" t="n">
        <v>1.5</v>
      </c>
      <c r="F469" t="n">
        <v>1</v>
      </c>
      <c r="G469" t="n">
        <v>15</v>
      </c>
      <c r="H469" t="inlineStr">
        <is>
          <t>No</t>
        </is>
      </c>
      <c r="I469" t="inlineStr"/>
      <c r="J469" t="n">
        <v>1</v>
      </c>
      <c r="K469" t="n">
        <v>15</v>
      </c>
      <c r="L469" s="5">
        <f>HYPERLINK("https://api.qogita.com/variants/link/8003921133149/", "View Product")</f>
        <v/>
      </c>
    </row>
    <row r="470">
      <c r="A470" t="inlineStr">
        <is>
          <t>8003921133170</t>
        </is>
      </c>
      <c r="B470" t="inlineStr">
        <is>
          <t>Elison Nail Brush 13231</t>
        </is>
      </c>
      <c r="C470" t="inlineStr">
        <is>
          <t>Nail Care</t>
        </is>
      </c>
      <c r="D470" t="inlineStr">
        <is>
          <t>Ellison</t>
        </is>
      </c>
      <c r="E470" t="n">
        <v>0.98</v>
      </c>
      <c r="F470" t="n">
        <v>1</v>
      </c>
      <c r="G470" t="n">
        <v>45</v>
      </c>
      <c r="H470" t="inlineStr">
        <is>
          <t>No</t>
        </is>
      </c>
      <c r="I470" t="inlineStr"/>
      <c r="J470" t="n">
        <v>1</v>
      </c>
      <c r="K470" t="n">
        <v>45</v>
      </c>
      <c r="L470" s="5">
        <f>HYPERLINK("https://api.qogita.com/variants/link/8003921133170/", "View Product")</f>
        <v/>
      </c>
    </row>
    <row r="471">
      <c r="A471" t="inlineStr">
        <is>
          <t>8003921137062</t>
        </is>
      </c>
      <c r="B471" t="inlineStr">
        <is>
          <t>Elison Nail Scissors 13706 - Multicolor, Ergonomic Design, Curved Cutting Edge</t>
        </is>
      </c>
      <c r="C471" t="inlineStr">
        <is>
          <t>Nail Clippers &amp; Tools</t>
        </is>
      </c>
      <c r="D471" t="inlineStr">
        <is>
          <t>Ellison</t>
        </is>
      </c>
      <c r="E471" t="n">
        <v>3.6</v>
      </c>
      <c r="F471" t="n">
        <v>1</v>
      </c>
      <c r="G471" t="n">
        <v>21</v>
      </c>
      <c r="H471" t="inlineStr">
        <is>
          <t>No</t>
        </is>
      </c>
      <c r="I471" t="inlineStr"/>
      <c r="J471" t="n">
        <v>1</v>
      </c>
      <c r="K471" t="n">
        <v>21</v>
      </c>
      <c r="L471" s="5">
        <f>HYPERLINK("https://api.qogita.com/variants/link/8003921137062/", "View Product")</f>
        <v/>
      </c>
    </row>
    <row r="472">
      <c r="A472" t="inlineStr">
        <is>
          <t>8003921137123</t>
        </is>
      </c>
      <c r="B472" t="inlineStr">
        <is>
          <t>Gabbiano Nail Clipper Nail Care Accessory</t>
        </is>
      </c>
      <c r="C472" t="inlineStr">
        <is>
          <t>Nail Clippers &amp; Tools</t>
        </is>
      </c>
      <c r="D472" t="inlineStr">
        <is>
          <t>‎Gabbiano</t>
        </is>
      </c>
      <c r="E472" t="n">
        <v>4.86</v>
      </c>
      <c r="F472" t="n">
        <v>1</v>
      </c>
      <c r="G472" t="n">
        <v>19</v>
      </c>
      <c r="H472" t="inlineStr">
        <is>
          <t>No</t>
        </is>
      </c>
      <c r="I472" t="inlineStr"/>
      <c r="J472" t="n">
        <v>1</v>
      </c>
      <c r="K472" t="n">
        <v>19</v>
      </c>
      <c r="L472" s="5">
        <f>HYPERLINK("https://api.qogita.com/variants/link/8003921137123/", "View Product")</f>
        <v/>
      </c>
    </row>
    <row r="473">
      <c r="A473" t="inlineStr">
        <is>
          <t>8003921137130</t>
        </is>
      </c>
      <c r="B473" t="inlineStr">
        <is>
          <t>Möwe Nail Clippers 50g</t>
        </is>
      </c>
      <c r="C473" t="inlineStr">
        <is>
          <t>Nail Clippers &amp; Tools</t>
        </is>
      </c>
      <c r="D473" t="inlineStr">
        <is>
          <t>‎Gabbiano</t>
        </is>
      </c>
      <c r="E473" t="n">
        <v>4.86</v>
      </c>
      <c r="F473" t="n">
        <v>1</v>
      </c>
      <c r="G473" t="n">
        <v>21</v>
      </c>
      <c r="H473" t="inlineStr">
        <is>
          <t>No</t>
        </is>
      </c>
      <c r="I473" t="inlineStr"/>
      <c r="J473" t="n">
        <v>1</v>
      </c>
      <c r="K473" t="n">
        <v>21</v>
      </c>
      <c r="L473" s="5">
        <f>HYPERLINK("https://api.qogita.com/variants/link/8003921137130/", "View Product")</f>
        <v/>
      </c>
    </row>
    <row r="474">
      <c r="A474" t="inlineStr">
        <is>
          <t>8003921137161</t>
        </is>
      </c>
      <c r="B474" t="inlineStr">
        <is>
          <t>Elison 111347 Large Nail Clippers</t>
        </is>
      </c>
      <c r="C474" t="inlineStr">
        <is>
          <t>Nail Clippers &amp; Tools</t>
        </is>
      </c>
      <c r="D474" t="inlineStr">
        <is>
          <t>Ellison</t>
        </is>
      </c>
      <c r="E474" t="n">
        <v>1.97</v>
      </c>
      <c r="F474" t="n">
        <v>1</v>
      </c>
      <c r="G474" t="n">
        <v>37</v>
      </c>
      <c r="H474" t="inlineStr">
        <is>
          <t>No</t>
        </is>
      </c>
      <c r="I474" t="inlineStr"/>
      <c r="J474" t="n">
        <v>1</v>
      </c>
      <c r="K474" t="n">
        <v>37</v>
      </c>
      <c r="L474" s="5">
        <f>HYPERLINK("https://api.qogita.com/variants/link/8003921137161/", "View Product")</f>
        <v/>
      </c>
    </row>
    <row r="475">
      <c r="A475" t="inlineStr">
        <is>
          <t>8023766054690</t>
        </is>
      </c>
      <c r="B475" t="inlineStr">
        <is>
          <t>Rotating Head Nail Clipper</t>
        </is>
      </c>
      <c r="C475" t="inlineStr">
        <is>
          <t>Nail Clippers &amp; Tools</t>
        </is>
      </c>
      <c r="D475" t="inlineStr">
        <is>
          <t>Farmamed</t>
        </is>
      </c>
      <c r="E475" t="n">
        <v>3.23</v>
      </c>
      <c r="F475" t="n">
        <v>1</v>
      </c>
      <c r="G475" t="n">
        <v>20</v>
      </c>
      <c r="H475" t="inlineStr">
        <is>
          <t>No</t>
        </is>
      </c>
      <c r="I475" t="inlineStr"/>
      <c r="J475" t="n">
        <v>1</v>
      </c>
      <c r="K475" t="n">
        <v>20</v>
      </c>
      <c r="L475" s="5">
        <f>HYPERLINK("https://api.qogita.com/variants/link/8023766054690/", "View Product")</f>
        <v/>
      </c>
    </row>
    <row r="476">
      <c r="A476" t="inlineStr">
        <is>
          <t>8023766054706</t>
        </is>
      </c>
      <c r="B476" t="inlineStr">
        <is>
          <t>Farmamed Nail Scissors</t>
        </is>
      </c>
      <c r="C476" t="inlineStr">
        <is>
          <t>Nail Clippers &amp; Tools</t>
        </is>
      </c>
      <c r="D476" t="inlineStr">
        <is>
          <t>Farmamed</t>
        </is>
      </c>
      <c r="E476" t="n">
        <v>4.86</v>
      </c>
      <c r="F476" t="n">
        <v>1</v>
      </c>
      <c r="G476" t="n">
        <v>12</v>
      </c>
      <c r="H476" t="inlineStr">
        <is>
          <t>No</t>
        </is>
      </c>
      <c r="I476" t="inlineStr"/>
      <c r="J476" t="n">
        <v>1</v>
      </c>
      <c r="K476" t="n">
        <v>12</v>
      </c>
      <c r="L476" s="5">
        <f>HYPERLINK("https://api.qogita.com/variants/link/8023766054706/", "View Product")</f>
        <v/>
      </c>
    </row>
    <row r="477">
      <c r="A477" t="inlineStr">
        <is>
          <t>8050847574136</t>
        </is>
      </c>
      <c r="B477" t="inlineStr">
        <is>
          <t>Cardboard Nail File Setablu 57413 Large Size 4 Pieces</t>
        </is>
      </c>
      <c r="C477" t="inlineStr">
        <is>
          <t>Nail Care Sets</t>
        </is>
      </c>
      <c r="D477" t="inlineStr">
        <is>
          <t>Setablu</t>
        </is>
      </c>
      <c r="E477" t="n">
        <v>0.8</v>
      </c>
      <c r="F477" t="n">
        <v>1</v>
      </c>
      <c r="G477" t="n">
        <v>188</v>
      </c>
      <c r="H477" t="inlineStr">
        <is>
          <t>No</t>
        </is>
      </c>
      <c r="I477" t="inlineStr"/>
      <c r="J477" t="n">
        <v>1</v>
      </c>
      <c r="K477" t="n">
        <v>188</v>
      </c>
      <c r="L477" s="5">
        <f>HYPERLINK("https://api.qogita.com/variants/link/8050847574136/", "View Product")</f>
        <v/>
      </c>
    </row>
    <row r="478">
      <c r="A478" t="inlineStr">
        <is>
          <t>8050847574143</t>
        </is>
      </c>
      <c r="B478" t="inlineStr">
        <is>
          <t>Esseci Nail File</t>
        </is>
      </c>
      <c r="C478" t="inlineStr">
        <is>
          <t>Nail Care</t>
        </is>
      </c>
      <c r="D478" t="inlineStr">
        <is>
          <t>Essie</t>
        </is>
      </c>
      <c r="E478" t="n">
        <v>0.75</v>
      </c>
      <c r="F478" t="n">
        <v>1</v>
      </c>
      <c r="G478" t="n">
        <v>74</v>
      </c>
      <c r="H478" t="inlineStr">
        <is>
          <t>No</t>
        </is>
      </c>
      <c r="I478" t="inlineStr"/>
      <c r="J478" t="n">
        <v>1</v>
      </c>
      <c r="K478" t="n">
        <v>74</v>
      </c>
      <c r="L478" s="5">
        <f>HYPERLINK("https://api.qogita.com/variants/link/8050847574143/", "View Product")</f>
        <v/>
      </c>
    </row>
    <row r="479">
      <c r="A479" t="inlineStr">
        <is>
          <t>8055748939688</t>
        </is>
      </c>
      <c r="B479" t="inlineStr">
        <is>
          <t>Steel Nail Scissors</t>
        </is>
      </c>
      <c r="C479" t="inlineStr">
        <is>
          <t>Nail Clippers &amp; Tools</t>
        </is>
      </c>
      <c r="D479" t="inlineStr">
        <is>
          <t>Setablu</t>
        </is>
      </c>
      <c r="E479" t="n">
        <v>0.98</v>
      </c>
      <c r="F479" t="n">
        <v>1</v>
      </c>
      <c r="G479" t="n">
        <v>94</v>
      </c>
      <c r="H479" t="inlineStr">
        <is>
          <t>No</t>
        </is>
      </c>
      <c r="I479" t="inlineStr"/>
      <c r="J479" t="n">
        <v>1</v>
      </c>
      <c r="K479" t="n">
        <v>94</v>
      </c>
      <c r="L479" s="5">
        <f>HYPERLINK("https://api.qogita.com/variants/link/8055748939688/", "View Product")</f>
        <v/>
      </c>
    </row>
    <row r="480">
      <c r="A480" t="inlineStr">
        <is>
          <t>8055748939954</t>
        </is>
      </c>
      <c r="B480" t="inlineStr">
        <is>
          <t>Nail Clipper Set Small 93995</t>
        </is>
      </c>
      <c r="C480" t="inlineStr">
        <is>
          <t>Nail Clippers &amp; Tools</t>
        </is>
      </c>
      <c r="D480" t="inlineStr">
        <is>
          <t>Other Brands</t>
        </is>
      </c>
      <c r="E480" t="n">
        <v>0.8</v>
      </c>
      <c r="F480" t="n">
        <v>1</v>
      </c>
      <c r="G480" t="n">
        <v>189</v>
      </c>
      <c r="H480" t="inlineStr">
        <is>
          <t>No</t>
        </is>
      </c>
      <c r="I480" t="inlineStr"/>
      <c r="J480" t="n">
        <v>1</v>
      </c>
      <c r="K480" t="n">
        <v>189</v>
      </c>
      <c r="L480" s="5">
        <f>HYPERLINK("https://api.qogita.com/variants/link/8055748939954/", "View Product")</f>
        <v/>
      </c>
    </row>
    <row r="481">
      <c r="A481" t="inlineStr">
        <is>
          <t>8809132965421</t>
        </is>
      </c>
      <c r="B481" t="inlineStr">
        <is>
          <t>Bling Pop Korea 3g Nail Shea Butter - Healing Nail Wrap</t>
        </is>
      </c>
      <c r="C481" t="inlineStr">
        <is>
          <t>Nail Care</t>
        </is>
      </c>
      <c r="D481" t="inlineStr">
        <is>
          <t>Bling Pop</t>
        </is>
      </c>
      <c r="E481" t="n">
        <v>0.91</v>
      </c>
      <c r="F481" t="n">
        <v>1</v>
      </c>
      <c r="G481" t="n">
        <v>300</v>
      </c>
      <c r="H481" t="inlineStr">
        <is>
          <t>No</t>
        </is>
      </c>
      <c r="I481" t="inlineStr"/>
      <c r="J481" t="n">
        <v>1</v>
      </c>
      <c r="K481" t="n">
        <v>300</v>
      </c>
      <c r="L481" s="5">
        <f>HYPERLINK("https://api.qogita.com/variants/link/8809132965421/", "View Product")</f>
        <v/>
      </c>
    </row>
    <row r="482">
      <c r="A482" t="inlineStr">
        <is>
          <t>8025272627818</t>
        </is>
      </c>
      <c r="B482" t="inlineStr">
        <is>
          <t>Kiko Milano Intense Care Oil Pen Nail Cuticle Nourishing Pen with Kukui Oil</t>
        </is>
      </c>
      <c r="C482" t="inlineStr">
        <is>
          <t>Nail Oil</t>
        </is>
      </c>
      <c r="D482" t="inlineStr">
        <is>
          <t>Kiko Milano</t>
        </is>
      </c>
      <c r="E482" t="n">
        <v>7.05</v>
      </c>
      <c r="F482" t="n">
        <v>1</v>
      </c>
      <c r="G482" t="n">
        <v>24</v>
      </c>
      <c r="H482" t="inlineStr">
        <is>
          <t>No</t>
        </is>
      </c>
      <c r="I482" t="inlineStr"/>
      <c r="J482" t="n">
        <v>1</v>
      </c>
      <c r="K482" t="n">
        <v>24</v>
      </c>
      <c r="L482" s="5">
        <f>HYPERLINK("https://api.qogita.com/variants/link/8025272627818/", "View Product")</f>
        <v/>
      </c>
    </row>
    <row r="483">
      <c r="A483" t="inlineStr">
        <is>
          <t>5903819828825</t>
        </is>
      </c>
      <c r="B483" t="inlineStr">
        <is>
          <t>PALU Botanical Garden Cuticle Oil 15ml</t>
        </is>
      </c>
      <c r="C483" t="inlineStr">
        <is>
          <t>Nail Oil</t>
        </is>
      </c>
      <c r="D483" t="inlineStr">
        <is>
          <t>Palu</t>
        </is>
      </c>
      <c r="E483" t="n">
        <v>1.53</v>
      </c>
      <c r="F483" t="n">
        <v>1</v>
      </c>
      <c r="G483" t="n">
        <v>6</v>
      </c>
      <c r="H483" t="inlineStr">
        <is>
          <t>No</t>
        </is>
      </c>
      <c r="I483" t="inlineStr"/>
      <c r="J483" t="n">
        <v>1</v>
      </c>
      <c r="K483" t="n">
        <v>6</v>
      </c>
      <c r="L483" s="5">
        <f>HYPERLINK("https://api.qogita.com/variants/link/5903819828825/", "View Product")</f>
        <v/>
      </c>
    </row>
    <row r="484">
      <c r="A484" t="inlineStr">
        <is>
          <t>5903819828832</t>
        </is>
      </c>
      <c r="B484" t="inlineStr">
        <is>
          <t>PALU Wild Island Cuticle Oil 15ml - Moisturizing Care for Nails and Cuticles</t>
        </is>
      </c>
      <c r="C484" t="inlineStr">
        <is>
          <t>Nail Oil</t>
        </is>
      </c>
      <c r="D484" t="inlineStr">
        <is>
          <t>Pálú Salon System</t>
        </is>
      </c>
      <c r="E484" t="n">
        <v>1.61</v>
      </c>
      <c r="F484" t="n">
        <v>1</v>
      </c>
      <c r="G484" t="n">
        <v>2</v>
      </c>
      <c r="H484" t="inlineStr">
        <is>
          <t>No</t>
        </is>
      </c>
      <c r="I484" t="inlineStr"/>
      <c r="J484" t="n">
        <v>1</v>
      </c>
      <c r="K484" t="n">
        <v>2</v>
      </c>
      <c r="L484" s="5">
        <f>HYPERLINK("https://api.qogita.com/variants/link/5903819828832/", "View Product")</f>
        <v/>
      </c>
    </row>
    <row r="485">
      <c r="A485" t="inlineStr">
        <is>
          <t>5904024538561</t>
        </is>
      </c>
      <c r="B485" t="inlineStr">
        <is>
          <t>Yoshi Acid Primer 10 Ml Essential For Nail Care</t>
        </is>
      </c>
      <c r="C485" t="inlineStr">
        <is>
          <t>Nail Oil</t>
        </is>
      </c>
      <c r="D485" t="inlineStr">
        <is>
          <t>Yoshy</t>
        </is>
      </c>
      <c r="E485" t="n">
        <v>1.63</v>
      </c>
      <c r="F485" t="n">
        <v>1</v>
      </c>
      <c r="G485" t="n">
        <v>8</v>
      </c>
      <c r="H485" t="inlineStr">
        <is>
          <t>No</t>
        </is>
      </c>
      <c r="I485" t="inlineStr"/>
      <c r="J485" t="n">
        <v>1</v>
      </c>
      <c r="K485" t="n">
        <v>8</v>
      </c>
      <c r="L485" s="5">
        <f>HYPERLINK("https://api.qogita.com/variants/link/5904024538561/", "View Product")</f>
        <v/>
      </c>
    </row>
    <row r="486">
      <c r="A486" t="inlineStr">
        <is>
          <t>8718309700256</t>
        </is>
      </c>
      <c r="B486" t="inlineStr">
        <is>
          <t>Mycosan Fungal Nail Treatment for Toenail Thickening</t>
        </is>
      </c>
      <c r="C486" t="inlineStr">
        <is>
          <t>Nail Oil</t>
        </is>
      </c>
      <c r="D486" t="inlineStr">
        <is>
          <t>Mycosan</t>
        </is>
      </c>
      <c r="E486" t="n">
        <v>8.59</v>
      </c>
      <c r="F486" t="n">
        <v>1</v>
      </c>
      <c r="G486" t="n">
        <v>3</v>
      </c>
      <c r="H486" t="inlineStr">
        <is>
          <t>No</t>
        </is>
      </c>
      <c r="I486" t="inlineStr"/>
      <c r="J486" t="n">
        <v>1</v>
      </c>
      <c r="K486" t="n">
        <v>3</v>
      </c>
      <c r="L486" s="5">
        <f>HYPERLINK("https://api.qogita.com/variants/link/8718309700256/", "View Product")</f>
        <v/>
      </c>
    </row>
    <row r="487">
      <c r="A487" t="inlineStr">
        <is>
          <t>0000030143685</t>
        </is>
      </c>
      <c r="B487" t="inlineStr">
        <is>
          <t>L'Oreal Paris Color Riche Manicure Make Up Designer Oil Based Varnish Ylang Fortifying</t>
        </is>
      </c>
      <c r="C487" t="inlineStr">
        <is>
          <t>Nail Oil</t>
        </is>
      </c>
      <c r="D487" t="inlineStr">
        <is>
          <t>L'Oréal Paris</t>
        </is>
      </c>
      <c r="E487" t="n">
        <v>1.94</v>
      </c>
      <c r="F487" t="n">
        <v>1</v>
      </c>
      <c r="G487" t="n">
        <v>2</v>
      </c>
      <c r="H487" t="inlineStr">
        <is>
          <t>No</t>
        </is>
      </c>
      <c r="I487" t="inlineStr"/>
      <c r="J487" t="n">
        <v>1</v>
      </c>
      <c r="K487" t="n">
        <v>2</v>
      </c>
      <c r="L487" s="5">
        <f>HYPERLINK("https://api.qogita.com/variants/link/0000030143685/", "View Product")</f>
        <v/>
      </c>
    </row>
    <row r="488">
      <c r="A488" t="inlineStr">
        <is>
          <t>0000030143722</t>
        </is>
      </c>
      <c r="B488" t="inlineStr">
        <is>
          <t>L'Oreal Nail Strengthening Argan</t>
        </is>
      </c>
      <c r="C488" t="inlineStr">
        <is>
          <t>Nail Oil</t>
        </is>
      </c>
      <c r="D488" t="inlineStr">
        <is>
          <t>L'Oréal Paris</t>
        </is>
      </c>
      <c r="E488" t="n">
        <v>2.66</v>
      </c>
      <c r="F488" t="n">
        <v>1</v>
      </c>
      <c r="G488" t="n">
        <v>2</v>
      </c>
      <c r="H488" t="inlineStr">
        <is>
          <t>No</t>
        </is>
      </c>
      <c r="I488" t="inlineStr"/>
      <c r="J488" t="n">
        <v>1</v>
      </c>
      <c r="K488" t="n">
        <v>2</v>
      </c>
      <c r="L488" s="5">
        <f>HYPERLINK("https://api.qogita.com/variants/link/0000030143722/", "View Product")</f>
        <v/>
      </c>
    </row>
    <row r="489">
      <c r="A489" t="inlineStr">
        <is>
          <t>0075280025579</t>
        </is>
      </c>
      <c r="B489" t="inlineStr">
        <is>
          <t>Sally Hansen Clip-N-Catch Short Nails 4g</t>
        </is>
      </c>
      <c r="C489" t="inlineStr">
        <is>
          <t>Nail Clippers &amp; Tools</t>
        </is>
      </c>
      <c r="D489" t="inlineStr">
        <is>
          <t>Sally Hansen</t>
        </is>
      </c>
      <c r="E489" t="n">
        <v>1.77</v>
      </c>
      <c r="F489" t="n">
        <v>1</v>
      </c>
      <c r="G489" t="n">
        <v>60</v>
      </c>
      <c r="H489" t="inlineStr">
        <is>
          <t>No</t>
        </is>
      </c>
      <c r="I489" t="inlineStr"/>
      <c r="J489" t="n">
        <v>2</v>
      </c>
      <c r="K489" t="n">
        <v>65</v>
      </c>
      <c r="L489" s="5">
        <f>HYPERLINK("https://api.qogita.com/variants/link/0075280025579/", "View Product")</f>
        <v/>
      </c>
    </row>
    <row r="490">
      <c r="A490" t="inlineStr">
        <is>
          <t>0075280025852</t>
        </is>
      </c>
      <c r="B490" t="inlineStr">
        <is>
          <t>Sally Hansen Eazy Tweezy Cuticle Remover 4g</t>
        </is>
      </c>
      <c r="C490" t="inlineStr">
        <is>
          <t>Cuticle Removers</t>
        </is>
      </c>
      <c r="D490" t="inlineStr">
        <is>
          <t>Sally Hansen</t>
        </is>
      </c>
      <c r="E490" t="n">
        <v>3.24</v>
      </c>
      <c r="F490" t="n">
        <v>1</v>
      </c>
      <c r="G490" t="n">
        <v>2</v>
      </c>
      <c r="H490" t="inlineStr">
        <is>
          <t>No</t>
        </is>
      </c>
      <c r="I490" t="inlineStr"/>
      <c r="J490" t="n">
        <v>2</v>
      </c>
      <c r="K490" t="n">
        <v>21</v>
      </c>
      <c r="L490" s="5">
        <f>HYPERLINK("https://api.qogita.com/variants/link/0075280025852/", "View Product")</f>
        <v/>
      </c>
    </row>
    <row r="491">
      <c r="A491" t="inlineStr">
        <is>
          <t>0079245335277</t>
        </is>
      </c>
      <c r="B491" t="inlineStr">
        <is>
          <t>Orly Manicure Essentials and Nail Art Tools Short Detailer Brush</t>
        </is>
      </c>
      <c r="C491" t="inlineStr">
        <is>
          <t>Nail Clippers &amp; Tools</t>
        </is>
      </c>
      <c r="D491" t="inlineStr">
        <is>
          <t>Orly</t>
        </is>
      </c>
      <c r="E491" t="n">
        <v>7.19</v>
      </c>
      <c r="F491" t="n">
        <v>1</v>
      </c>
      <c r="G491" t="n">
        <v>1</v>
      </c>
      <c r="H491" t="inlineStr">
        <is>
          <t>No</t>
        </is>
      </c>
      <c r="I491" t="inlineStr"/>
      <c r="J491" t="n">
        <v>1</v>
      </c>
      <c r="K491" t="n">
        <v>1</v>
      </c>
      <c r="L491" s="5">
        <f>HYPERLINK("https://api.qogita.com/variants/link/0079245335277/", "View Product")</f>
        <v/>
      </c>
    </row>
    <row r="492">
      <c r="A492" t="inlineStr">
        <is>
          <t>3529311220657</t>
        </is>
      </c>
      <c r="B492" t="inlineStr">
        <is>
          <t>Peggy Sage Pedicure Nail File 2 Sides Wood</t>
        </is>
      </c>
      <c r="C492" t="inlineStr">
        <is>
          <t>Nail Care</t>
        </is>
      </c>
      <c r="D492" t="inlineStr">
        <is>
          <t>Peggy Sage</t>
        </is>
      </c>
      <c r="E492" t="n">
        <v>5.11</v>
      </c>
      <c r="F492" t="n">
        <v>1</v>
      </c>
      <c r="G492" t="n">
        <v>1</v>
      </c>
      <c r="H492" t="inlineStr">
        <is>
          <t>No</t>
        </is>
      </c>
      <c r="I492" t="inlineStr"/>
      <c r="J492" t="n">
        <v>1</v>
      </c>
      <c r="K492" t="n">
        <v>1</v>
      </c>
      <c r="L492" s="5">
        <f>HYPERLINK("https://api.qogita.com/variants/link/3529311220657/", "View Product")</f>
        <v/>
      </c>
    </row>
    <row r="493">
      <c r="A493" t="inlineStr">
        <is>
          <t>3538890056014</t>
        </is>
      </c>
      <c r="B493" t="inlineStr">
        <is>
          <t>Vitry Stainless Steel Pedicure Nail Clipper</t>
        </is>
      </c>
      <c r="C493" t="inlineStr">
        <is>
          <t>Nail Clippers &amp; Tools</t>
        </is>
      </c>
      <c r="D493" t="inlineStr">
        <is>
          <t>Vitry</t>
        </is>
      </c>
      <c r="E493" t="n">
        <v>7.05</v>
      </c>
      <c r="F493" t="n">
        <v>1</v>
      </c>
      <c r="G493" t="n">
        <v>2</v>
      </c>
      <c r="H493" t="inlineStr">
        <is>
          <t>No</t>
        </is>
      </c>
      <c r="I493" t="inlineStr"/>
      <c r="J493" t="n">
        <v>1</v>
      </c>
      <c r="K493" t="n">
        <v>2</v>
      </c>
      <c r="L493" s="5">
        <f>HYPERLINK("https://api.qogita.com/variants/link/3538890056014/", "View Product")</f>
        <v/>
      </c>
    </row>
    <row r="494">
      <c r="A494" t="inlineStr">
        <is>
          <t>3538891057003</t>
        </is>
      </c>
      <c r="B494" t="inlineStr">
        <is>
          <t>Vitry Stainless Steel Pocket Nail Clipper 70mm</t>
        </is>
      </c>
      <c r="C494" t="inlineStr">
        <is>
          <t>Nail Clippers &amp; Tools</t>
        </is>
      </c>
      <c r="D494" t="inlineStr">
        <is>
          <t>Vitry</t>
        </is>
      </c>
      <c r="E494" t="n">
        <v>6.55</v>
      </c>
      <c r="F494" t="n">
        <v>1</v>
      </c>
      <c r="G494" t="n">
        <v>1</v>
      </c>
      <c r="H494" t="inlineStr">
        <is>
          <t>No</t>
        </is>
      </c>
      <c r="I494" t="inlineStr"/>
      <c r="J494" t="n">
        <v>1</v>
      </c>
      <c r="K494" t="n">
        <v>1</v>
      </c>
      <c r="L494" s="5">
        <f>HYPERLINK("https://api.qogita.com/variants/link/3538891057003/", "View Product")</f>
        <v/>
      </c>
    </row>
    <row r="495">
      <c r="A495" t="inlineStr">
        <is>
          <t>3538891221350</t>
        </is>
      </c>
      <c r="B495" t="inlineStr">
        <is>
          <t>Vitry Foot Care Pedicure Nail Nippers - Stainless Steel, 14 Cm</t>
        </is>
      </c>
      <c r="C495" t="inlineStr">
        <is>
          <t>Nail Clippers &amp; Tools</t>
        </is>
      </c>
      <c r="D495" t="inlineStr">
        <is>
          <t>Vitry</t>
        </is>
      </c>
      <c r="E495" t="n">
        <v>11.07</v>
      </c>
      <c r="F495" t="n">
        <v>1</v>
      </c>
      <c r="G495" t="n">
        <v>4</v>
      </c>
      <c r="H495" t="inlineStr">
        <is>
          <t>No</t>
        </is>
      </c>
      <c r="I495" t="inlineStr"/>
      <c r="J495" t="n">
        <v>1</v>
      </c>
      <c r="K495" t="n">
        <v>4</v>
      </c>
      <c r="L495" s="5">
        <f>HYPERLINK("https://api.qogita.com/variants/link/3538891221350/", "View Product")</f>
        <v/>
      </c>
    </row>
    <row r="496">
      <c r="A496" t="inlineStr">
        <is>
          <t>3538892893334</t>
        </is>
      </c>
      <c r="B496" t="inlineStr">
        <is>
          <t>Vitry Manicure Nail Clippers - Black</t>
        </is>
      </c>
      <c r="C496" t="inlineStr">
        <is>
          <t>Nail Clippers &amp; Tools</t>
        </is>
      </c>
      <c r="D496" t="inlineStr">
        <is>
          <t>Vitry</t>
        </is>
      </c>
      <c r="E496" t="n">
        <v>3.68</v>
      </c>
      <c r="F496" t="n">
        <v>1</v>
      </c>
      <c r="G496" t="n">
        <v>1</v>
      </c>
      <c r="H496" t="inlineStr">
        <is>
          <t>No</t>
        </is>
      </c>
      <c r="I496" t="inlineStr"/>
      <c r="J496" t="n">
        <v>1</v>
      </c>
      <c r="K496" t="n">
        <v>1</v>
      </c>
      <c r="L496" s="5">
        <f>HYPERLINK("https://api.qogita.com/variants/link/3538892893334/", "View Product")</f>
        <v/>
      </c>
    </row>
    <row r="497">
      <c r="A497" t="inlineStr">
        <is>
          <t>3538897770043</t>
        </is>
      </c>
      <c r="B497" t="inlineStr">
        <is>
          <t>Vitry Nail Care Repair Treatment Pro'expert 10ml</t>
        </is>
      </c>
      <c r="C497" t="inlineStr">
        <is>
          <t>Nail Care Sets</t>
        </is>
      </c>
      <c r="D497" t="inlineStr">
        <is>
          <t>Vitry</t>
        </is>
      </c>
      <c r="E497" t="n">
        <v>10.1</v>
      </c>
      <c r="F497" t="n">
        <v>1</v>
      </c>
      <c r="G497" t="n">
        <v>3</v>
      </c>
      <c r="H497" t="inlineStr">
        <is>
          <t>No</t>
        </is>
      </c>
      <c r="I497" t="inlineStr"/>
      <c r="J497" t="n">
        <v>1</v>
      </c>
      <c r="K497" t="n">
        <v>3</v>
      </c>
      <c r="L497" s="5">
        <f>HYPERLINK("https://api.qogita.com/variants/link/3538897770043/", "View Product")</f>
        <v/>
      </c>
    </row>
    <row r="498">
      <c r="A498" t="inlineStr">
        <is>
          <t>3538897791086</t>
        </is>
      </c>
      <c r="B498" t="inlineStr">
        <is>
          <t>Vitry Sos Striated Nails - 10 Ml</t>
        </is>
      </c>
      <c r="C498" t="inlineStr">
        <is>
          <t>Nail Oil</t>
        </is>
      </c>
      <c r="D498" t="inlineStr">
        <is>
          <t>Vitry</t>
        </is>
      </c>
      <c r="E498" t="n">
        <v>8.09</v>
      </c>
      <c r="F498" t="n">
        <v>1</v>
      </c>
      <c r="G498" t="n">
        <v>5</v>
      </c>
      <c r="H498" t="inlineStr">
        <is>
          <t>No</t>
        </is>
      </c>
      <c r="I498" t="inlineStr"/>
      <c r="J498" t="n">
        <v>1</v>
      </c>
      <c r="K498" t="n">
        <v>5</v>
      </c>
      <c r="L498" s="5">
        <f>HYPERLINK("https://api.qogita.com/variants/link/3538897791086/", "View Product")</f>
        <v/>
      </c>
    </row>
    <row r="499">
      <c r="A499" t="inlineStr">
        <is>
          <t>3616304745850</t>
        </is>
      </c>
      <c r="B499" t="inlineStr">
        <is>
          <t>Sally Hansen Miracle Gel Keita Hani 919contemporairy 147ml</t>
        </is>
      </c>
      <c r="C499" t="inlineStr">
        <is>
          <t>Nail Care Sets</t>
        </is>
      </c>
      <c r="D499" t="inlineStr">
        <is>
          <t>Sally Hansen</t>
        </is>
      </c>
      <c r="E499" t="n">
        <v>4.12</v>
      </c>
      <c r="F499" t="n">
        <v>1</v>
      </c>
      <c r="G499" t="n">
        <v>1</v>
      </c>
      <c r="H499" t="inlineStr">
        <is>
          <t>No</t>
        </is>
      </c>
      <c r="I499" t="inlineStr"/>
      <c r="J499" t="n">
        <v>1</v>
      </c>
      <c r="K499" t="n">
        <v>1</v>
      </c>
      <c r="L499" s="5">
        <f>HYPERLINK("https://api.qogita.com/variants/link/3616304745850/", "View Product")</f>
        <v/>
      </c>
    </row>
    <row r="500">
      <c r="A500" t="inlineStr">
        <is>
          <t>4820121592866</t>
        </is>
      </c>
      <c r="B500" t="inlineStr">
        <is>
          <t>Vj Cuticle Pusher Staleks PE-30 for Manicure and Pedicure</t>
        </is>
      </c>
      <c r="C500" t="inlineStr">
        <is>
          <t>Cuticle Removers</t>
        </is>
      </c>
      <c r="D500" t="inlineStr">
        <is>
          <t>Staleks</t>
        </is>
      </c>
      <c r="E500" t="n">
        <v>4.34</v>
      </c>
      <c r="F500" t="n">
        <v>1</v>
      </c>
      <c r="G500" t="n">
        <v>1</v>
      </c>
      <c r="H500" t="inlineStr">
        <is>
          <t>No</t>
        </is>
      </c>
      <c r="I500" t="inlineStr"/>
      <c r="J500" t="n">
        <v>1</v>
      </c>
      <c r="K500" t="n">
        <v>1</v>
      </c>
      <c r="L500" s="5">
        <f>HYPERLINK("https://api.qogita.com/variants/link/4820121592866/", "View Product")</f>
        <v/>
      </c>
    </row>
    <row r="501">
      <c r="A501" t="inlineStr">
        <is>
          <t>4820121594372</t>
        </is>
      </c>
      <c r="B501" t="inlineStr">
        <is>
          <t>Staleks Metal Handle For Disposable Nail Files Expert 40 Crescent Metal Nail File Base</t>
        </is>
      </c>
      <c r="C501" t="inlineStr">
        <is>
          <t>Manicure Sets</t>
        </is>
      </c>
      <c r="D501" t="inlineStr">
        <is>
          <t>Staleks</t>
        </is>
      </c>
      <c r="E501" t="n">
        <v>4.77</v>
      </c>
      <c r="F501" t="n">
        <v>1</v>
      </c>
      <c r="G501" t="n">
        <v>2</v>
      </c>
      <c r="H501" t="inlineStr">
        <is>
          <t>No</t>
        </is>
      </c>
      <c r="I501" t="inlineStr"/>
      <c r="J501" t="n">
        <v>1</v>
      </c>
      <c r="K501" t="n">
        <v>2</v>
      </c>
      <c r="L501" s="5">
        <f>HYPERLINK("https://api.qogita.com/variants/link/4820121594372/", "View Product")</f>
        <v/>
      </c>
    </row>
    <row r="502">
      <c r="A502" t="inlineStr">
        <is>
          <t>4820241060054</t>
        </is>
      </c>
      <c r="B502" t="inlineStr">
        <is>
          <t>Staleks Smart 50 Type 2 Manicure Pusher Essential Tool For Nail Care</t>
        </is>
      </c>
      <c r="C502" t="inlineStr">
        <is>
          <t>Nail Clippers &amp; Tools</t>
        </is>
      </c>
      <c r="D502" t="inlineStr">
        <is>
          <t>Staleks</t>
        </is>
      </c>
      <c r="E502" t="n">
        <v>2.93</v>
      </c>
      <c r="F502" t="n">
        <v>1</v>
      </c>
      <c r="G502" t="n">
        <v>65</v>
      </c>
      <c r="H502" t="inlineStr">
        <is>
          <t>No</t>
        </is>
      </c>
      <c r="I502" t="inlineStr"/>
      <c r="J502" t="n">
        <v>2</v>
      </c>
      <c r="K502" t="n">
        <v>77</v>
      </c>
      <c r="L502" s="5">
        <f>HYPERLINK("https://api.qogita.com/variants/link/4820241060054/", "View Product")</f>
        <v/>
      </c>
    </row>
    <row r="503">
      <c r="A503" t="inlineStr">
        <is>
          <t>4823126600727</t>
        </is>
      </c>
      <c r="B503" t="inlineStr">
        <is>
          <t>Staleks Manicure Attachment Combo Uniq 12 Beveled Pusher</t>
        </is>
      </c>
      <c r="C503" t="inlineStr">
        <is>
          <t>Manicure Sets</t>
        </is>
      </c>
      <c r="D503" t="inlineStr">
        <is>
          <t>Staleks</t>
        </is>
      </c>
      <c r="E503" t="n">
        <v>1.57</v>
      </c>
      <c r="F503" t="n">
        <v>1</v>
      </c>
      <c r="G503" t="n">
        <v>3</v>
      </c>
      <c r="H503" t="inlineStr">
        <is>
          <t>No</t>
        </is>
      </c>
      <c r="I503" t="inlineStr"/>
      <c r="J503" t="n">
        <v>1</v>
      </c>
      <c r="K503" t="n">
        <v>3</v>
      </c>
      <c r="L503" s="5">
        <f>HYPERLINK("https://api.qogita.com/variants/link/4823126600727/", "View Product")</f>
        <v/>
      </c>
    </row>
    <row r="504">
      <c r="A504" t="inlineStr">
        <is>
          <t>4823126600840</t>
        </is>
      </c>
      <c r="B504" t="inlineStr">
        <is>
          <t>Staleks Manicure Attachment Combo Uniq 18 Straight Flat Pusher</t>
        </is>
      </c>
      <c r="C504" t="inlineStr">
        <is>
          <t>Manicure Sets</t>
        </is>
      </c>
      <c r="D504" t="inlineStr">
        <is>
          <t>Staleks</t>
        </is>
      </c>
      <c r="E504" t="n">
        <v>1.66</v>
      </c>
      <c r="F504" t="n">
        <v>1</v>
      </c>
      <c r="G504" t="n">
        <v>3</v>
      </c>
      <c r="H504" t="inlineStr">
        <is>
          <t>No</t>
        </is>
      </c>
      <c r="I504" t="inlineStr"/>
      <c r="J504" t="n">
        <v>1</v>
      </c>
      <c r="K504" t="n">
        <v>3</v>
      </c>
      <c r="L504" s="5">
        <f>HYPERLINK("https://api.qogita.com/variants/link/4823126600840/", "View Product")</f>
        <v/>
      </c>
    </row>
    <row r="505">
      <c r="A505" t="inlineStr">
        <is>
          <t>4823126600857</t>
        </is>
      </c>
      <c r="B505" t="inlineStr">
        <is>
          <t>Staleks Manicure Attachment Combo Uniq 17 Rounded Wide Pusher</t>
        </is>
      </c>
      <c r="C505" t="inlineStr">
        <is>
          <t>Manicure Sets</t>
        </is>
      </c>
      <c r="D505" t="inlineStr">
        <is>
          <t>Staleks</t>
        </is>
      </c>
      <c r="E505" t="n">
        <v>1.66</v>
      </c>
      <c r="F505" t="n">
        <v>1</v>
      </c>
      <c r="G505" t="n">
        <v>3</v>
      </c>
      <c r="H505" t="inlineStr">
        <is>
          <t>No</t>
        </is>
      </c>
      <c r="I505" t="inlineStr"/>
      <c r="J505" t="n">
        <v>1</v>
      </c>
      <c r="K505" t="n">
        <v>3</v>
      </c>
      <c r="L505" s="5">
        <f>HYPERLINK("https://api.qogita.com/variants/link/4823126600857/", "View Product")</f>
        <v/>
      </c>
    </row>
    <row r="506">
      <c r="A506" t="inlineStr">
        <is>
          <t>4823126600864</t>
        </is>
      </c>
      <c r="B506" t="inlineStr">
        <is>
          <t>Staleks Manicure Attachment Combo Uniq 16 Rounded Narrow Pusher</t>
        </is>
      </c>
      <c r="C506" t="inlineStr">
        <is>
          <t>Manicure Sets</t>
        </is>
      </c>
      <c r="D506" t="inlineStr">
        <is>
          <t>Staleks</t>
        </is>
      </c>
      <c r="E506" t="n">
        <v>1.66</v>
      </c>
      <c r="F506" t="n">
        <v>1</v>
      </c>
      <c r="G506" t="n">
        <v>3</v>
      </c>
      <c r="H506" t="inlineStr">
        <is>
          <t>No</t>
        </is>
      </c>
      <c r="I506" t="inlineStr"/>
      <c r="J506" t="n">
        <v>1</v>
      </c>
      <c r="K506" t="n">
        <v>3</v>
      </c>
      <c r="L506" s="5">
        <f>HYPERLINK("https://api.qogita.com/variants/link/4823126600864/", "View Product")</f>
        <v/>
      </c>
    </row>
    <row r="507">
      <c r="A507" t="inlineStr">
        <is>
          <t>4823126600888</t>
        </is>
      </c>
      <c r="B507" t="inlineStr">
        <is>
          <t>Staleks Crescent Mineral Nail File Expert 40 150/180 - 25 Pieces</t>
        </is>
      </c>
      <c r="C507" t="inlineStr">
        <is>
          <t>Nail Care Sets</t>
        </is>
      </c>
      <c r="D507" t="inlineStr">
        <is>
          <t>Staleks</t>
        </is>
      </c>
      <c r="E507" t="n">
        <v>6.65</v>
      </c>
      <c r="F507" t="n">
        <v>1</v>
      </c>
      <c r="G507" t="n">
        <v>4</v>
      </c>
      <c r="H507" t="inlineStr">
        <is>
          <t>No</t>
        </is>
      </c>
      <c r="I507" t="inlineStr"/>
      <c r="J507" t="n">
        <v>1</v>
      </c>
      <c r="K507" t="n">
        <v>4</v>
      </c>
      <c r="L507" s="5">
        <f>HYPERLINK("https://api.qogita.com/variants/link/4823126600888/", "View Product")</f>
        <v/>
      </c>
    </row>
    <row r="508">
      <c r="A508" t="inlineStr">
        <is>
          <t>5011522292755</t>
        </is>
      </c>
      <c r="B508" t="inlineStr">
        <is>
          <t>Elegant Touch Elegant Touch Natural French Bare 144 Xs</t>
        </is>
      </c>
      <c r="C508" t="inlineStr">
        <is>
          <t>Nail Care Sets</t>
        </is>
      </c>
      <c r="D508" t="inlineStr">
        <is>
          <t>Elegant Touch</t>
        </is>
      </c>
      <c r="E508" t="n">
        <v>5.12</v>
      </c>
      <c r="F508" t="n">
        <v>1</v>
      </c>
      <c r="G508" t="n">
        <v>1</v>
      </c>
      <c r="H508" t="inlineStr">
        <is>
          <t>No</t>
        </is>
      </c>
      <c r="I508" t="inlineStr"/>
      <c r="J508" t="n">
        <v>1</v>
      </c>
      <c r="K508" t="n">
        <v>1</v>
      </c>
      <c r="L508" s="5">
        <f>HYPERLINK("https://api.qogita.com/variants/link/5011522292755/", "View Product")</f>
        <v/>
      </c>
    </row>
    <row r="509">
      <c r="A509" t="inlineStr">
        <is>
          <t>5052197001327</t>
        </is>
      </c>
      <c r="B509" t="inlineStr">
        <is>
          <t>Scholl 2 in 1 Solution for Nail Fungus</t>
        </is>
      </c>
      <c r="C509" t="inlineStr">
        <is>
          <t>Nail Care</t>
        </is>
      </c>
      <c r="D509" t="inlineStr">
        <is>
          <t>Scholl</t>
        </is>
      </c>
      <c r="E509" t="n">
        <v>6.73</v>
      </c>
      <c r="F509" t="n">
        <v>1</v>
      </c>
      <c r="G509" t="n">
        <v>1</v>
      </c>
      <c r="H509" t="inlineStr">
        <is>
          <t>No</t>
        </is>
      </c>
      <c r="I509" t="inlineStr"/>
      <c r="J509" t="n">
        <v>1</v>
      </c>
      <c r="K509" t="n">
        <v>1</v>
      </c>
      <c r="L509" s="5">
        <f>HYPERLINK("https://api.qogita.com/variants/link/5052197001327/", "View Product")</f>
        <v/>
      </c>
    </row>
    <row r="510">
      <c r="A510" t="inlineStr">
        <is>
          <t>5902560535594</t>
        </is>
      </c>
      <c r="B510" t="inlineStr">
        <is>
          <t>Silcare Nailo Cleaner Nail Plate Degreasing Liquid 1000ml</t>
        </is>
      </c>
      <c r="C510" t="inlineStr">
        <is>
          <t>Cuticle Removers</t>
        </is>
      </c>
      <c r="D510" t="inlineStr">
        <is>
          <t>Silcare</t>
        </is>
      </c>
      <c r="E510" t="n">
        <v>4.18</v>
      </c>
      <c r="F510" t="n">
        <v>1</v>
      </c>
      <c r="G510" t="n">
        <v>14</v>
      </c>
      <c r="H510" t="inlineStr">
        <is>
          <t>No</t>
        </is>
      </c>
      <c r="I510" t="inlineStr"/>
      <c r="J510" t="n">
        <v>2</v>
      </c>
      <c r="K510" t="n">
        <v>21</v>
      </c>
      <c r="L510" s="5">
        <f>HYPERLINK("https://api.qogita.com/variants/link/5902560535594/", "View Product")</f>
        <v/>
      </c>
    </row>
    <row r="511">
      <c r="A511" t="inlineStr">
        <is>
          <t>5902704999350</t>
        </is>
      </c>
      <c r="B511" t="inlineStr">
        <is>
          <t>Inter-Vion Sapphire Nail File Small In Case</t>
        </is>
      </c>
      <c r="C511" t="inlineStr">
        <is>
          <t>Nail Clippers &amp; Tools</t>
        </is>
      </c>
      <c r="D511" t="inlineStr">
        <is>
          <t>‎Intervion</t>
        </is>
      </c>
      <c r="E511" t="n">
        <v>0.85</v>
      </c>
      <c r="F511" t="n">
        <v>1</v>
      </c>
      <c r="G511" t="n">
        <v>18</v>
      </c>
      <c r="H511" t="inlineStr">
        <is>
          <t>No</t>
        </is>
      </c>
      <c r="I511" t="inlineStr"/>
      <c r="J511" t="n">
        <v>2</v>
      </c>
      <c r="K511" t="n">
        <v>20</v>
      </c>
      <c r="L511" s="5">
        <f>HYPERLINK("https://api.qogita.com/variants/link/5902704999350/", "View Product")</f>
        <v/>
      </c>
    </row>
    <row r="512">
      <c r="A512" t="inlineStr">
        <is>
          <t>5907549220508</t>
        </is>
      </c>
      <c r="B512" t="inlineStr">
        <is>
          <t>Donegal Nail File Straight 8080 178 Cm 2050</t>
        </is>
      </c>
      <c r="C512" t="inlineStr">
        <is>
          <t>Nail Care</t>
        </is>
      </c>
      <c r="D512" t="inlineStr">
        <is>
          <t>Donegal</t>
        </is>
      </c>
      <c r="E512" t="n">
        <v>0.91</v>
      </c>
      <c r="F512" t="n">
        <v>1</v>
      </c>
      <c r="G512" t="n">
        <v>14</v>
      </c>
      <c r="H512" t="inlineStr">
        <is>
          <t>No</t>
        </is>
      </c>
      <c r="I512" t="inlineStr"/>
      <c r="J512" t="n">
        <v>2</v>
      </c>
      <c r="K512" t="n">
        <v>18</v>
      </c>
      <c r="L512" s="5">
        <f>HYPERLINK("https://api.qogita.com/variants/link/5907549220508/", "View Product")</f>
        <v/>
      </c>
    </row>
    <row r="513">
      <c r="A513" t="inlineStr">
        <is>
          <t>5907731971508</t>
        </is>
      </c>
      <c r="B513" t="inlineStr">
        <is>
          <t>Claresa Cuticle Oil Vanilla 5g - Nourishing Cuticle Oil</t>
        </is>
      </c>
      <c r="C513" t="inlineStr">
        <is>
          <t>Nail Oil</t>
        </is>
      </c>
      <c r="D513" t="inlineStr">
        <is>
          <t>Claresa</t>
        </is>
      </c>
      <c r="E513" t="n">
        <v>1.06</v>
      </c>
      <c r="F513" t="n">
        <v>1</v>
      </c>
      <c r="G513" t="n">
        <v>8</v>
      </c>
      <c r="H513" t="inlineStr">
        <is>
          <t>No</t>
        </is>
      </c>
      <c r="I513" t="inlineStr"/>
      <c r="J513" t="n">
        <v>2</v>
      </c>
      <c r="K513" t="n">
        <v>9</v>
      </c>
      <c r="L513" s="5">
        <f>HYPERLINK("https://api.qogita.com/variants/link/5907731971508/", "View Product")</f>
        <v/>
      </c>
    </row>
    <row r="514">
      <c r="A514" t="inlineStr">
        <is>
          <t>7618900995802</t>
        </is>
      </c>
      <c r="B514" t="inlineStr">
        <is>
          <t>Mavala Mavala Scientific K Nail Hardener With Applicator 45ml</t>
        </is>
      </c>
      <c r="C514" t="inlineStr">
        <is>
          <t>Nail Care Sets</t>
        </is>
      </c>
      <c r="D514" t="inlineStr">
        <is>
          <t>Mavala</t>
        </is>
      </c>
      <c r="E514" t="n">
        <v>6.76</v>
      </c>
      <c r="F514" t="n">
        <v>1</v>
      </c>
      <c r="G514" t="n">
        <v>1</v>
      </c>
      <c r="H514" t="inlineStr">
        <is>
          <t>No</t>
        </is>
      </c>
      <c r="I514" t="inlineStr"/>
      <c r="J514" t="n">
        <v>1</v>
      </c>
      <c r="K514" t="n">
        <v>1</v>
      </c>
      <c r="L514" s="5">
        <f>HYPERLINK("https://api.qogita.com/variants/link/7618900995802/", "View Product")</f>
        <v/>
      </c>
    </row>
    <row r="515">
      <c r="A515" t="inlineStr">
        <is>
          <t>8410990165504</t>
        </is>
      </c>
      <c r="B515" t="inlineStr">
        <is>
          <t>Cortaúñas Gato Con Apoyadedos 3c With Claw Supports</t>
        </is>
      </c>
      <c r="C515" t="inlineStr">
        <is>
          <t>Nail Clippers &amp; Tools</t>
        </is>
      </c>
      <c r="D515" t="inlineStr">
        <is>
          <t>3 Claveles</t>
        </is>
      </c>
      <c r="E515" t="n">
        <v>3.11</v>
      </c>
      <c r="F515" t="n">
        <v>1</v>
      </c>
      <c r="G515" t="n">
        <v>2</v>
      </c>
      <c r="H515" t="inlineStr">
        <is>
          <t>No</t>
        </is>
      </c>
      <c r="I515" t="inlineStr"/>
      <c r="J515" t="n">
        <v>1</v>
      </c>
      <c r="K515" t="n">
        <v>2</v>
      </c>
      <c r="L515" s="5">
        <f>HYPERLINK("https://api.qogita.com/variants/link/8410990165504/", "View Product")</f>
        <v/>
      </c>
    </row>
    <row r="516">
      <c r="A516" t="inlineStr">
        <is>
          <t>8412122070205</t>
        </is>
      </c>
      <c r="B516" t="inlineStr">
        <is>
          <t>Beter Beter Manicure Clippers With Nail Catcher</t>
        </is>
      </c>
      <c r="C516" t="inlineStr">
        <is>
          <t>Nail Clippers &amp; Tools</t>
        </is>
      </c>
      <c r="D516" t="inlineStr">
        <is>
          <t>Beter</t>
        </is>
      </c>
      <c r="E516" t="n">
        <v>2.1</v>
      </c>
      <c r="F516" t="n">
        <v>1</v>
      </c>
      <c r="G516" t="n">
        <v>3</v>
      </c>
      <c r="H516" t="inlineStr">
        <is>
          <t>No</t>
        </is>
      </c>
      <c r="I516" t="inlineStr"/>
      <c r="J516" t="n">
        <v>1</v>
      </c>
      <c r="K516" t="n">
        <v>3</v>
      </c>
      <c r="L516" s="5">
        <f>HYPERLINK("https://api.qogita.com/variants/link/8412122070205/", "View Product")</f>
        <v/>
      </c>
    </row>
    <row r="517">
      <c r="A517" t="inlineStr">
        <is>
          <t>8412122340063</t>
        </is>
      </c>
      <c r="B517" t="inlineStr">
        <is>
          <t>Beter Chrome Plated Manicure Nail Clippers With Nail File</t>
        </is>
      </c>
      <c r="C517" t="inlineStr">
        <is>
          <t>Nail Clippers &amp; Tools</t>
        </is>
      </c>
      <c r="D517" t="inlineStr">
        <is>
          <t>Beter</t>
        </is>
      </c>
      <c r="E517" t="n">
        <v>1.08</v>
      </c>
      <c r="F517" t="n">
        <v>1</v>
      </c>
      <c r="G517" t="n">
        <v>2</v>
      </c>
      <c r="H517" t="inlineStr">
        <is>
          <t>No</t>
        </is>
      </c>
      <c r="I517" t="inlineStr"/>
      <c r="J517" t="n">
        <v>1</v>
      </c>
      <c r="K517" t="n">
        <v>2</v>
      </c>
      <c r="L517" s="5">
        <f>HYPERLINK("https://api.qogita.com/variants/link/8412122340063/", "View Product")</f>
        <v/>
      </c>
    </row>
    <row r="518">
      <c r="A518" t="inlineStr">
        <is>
          <t>8412122340452</t>
        </is>
      </c>
      <c r="B518" t="inlineStr">
        <is>
          <t>Beter Beter Chrome Plated Manicure Cuticle Scissors</t>
        </is>
      </c>
      <c r="C518" t="inlineStr">
        <is>
          <t>Nail Clippers &amp; Tools</t>
        </is>
      </c>
      <c r="D518" t="inlineStr">
        <is>
          <t>Beter</t>
        </is>
      </c>
      <c r="E518" t="n">
        <v>3.24</v>
      </c>
      <c r="F518" t="n">
        <v>1</v>
      </c>
      <c r="G518" t="n">
        <v>1</v>
      </c>
      <c r="H518" t="inlineStr">
        <is>
          <t>No</t>
        </is>
      </c>
      <c r="I518" t="inlineStr"/>
      <c r="J518" t="n">
        <v>1</v>
      </c>
      <c r="K518" t="n">
        <v>1</v>
      </c>
      <c r="L518" s="5">
        <f>HYPERLINK("https://api.qogita.com/variants/link/8412122340452/", "View Product")</f>
        <v/>
      </c>
    </row>
    <row r="519">
      <c r="A519" t="inlineStr">
        <is>
          <t>8412122340780</t>
        </is>
      </c>
      <c r="B519" t="inlineStr">
        <is>
          <t>Beter Orange Sticks Cuticle Pusher 11.5cm - Pack of 5</t>
        </is>
      </c>
      <c r="C519" t="inlineStr">
        <is>
          <t>Cuticle Removers</t>
        </is>
      </c>
      <c r="D519" t="inlineStr">
        <is>
          <t>Beter</t>
        </is>
      </c>
      <c r="E519" t="n">
        <v>0.44</v>
      </c>
      <c r="F519" t="n">
        <v>1</v>
      </c>
      <c r="G519" t="n">
        <v>33</v>
      </c>
      <c r="H519" t="inlineStr">
        <is>
          <t>No</t>
        </is>
      </c>
      <c r="I519" t="inlineStr"/>
      <c r="J519" t="n">
        <v>2</v>
      </c>
      <c r="K519" t="n">
        <v>34</v>
      </c>
      <c r="L519" s="5">
        <f>HYPERLINK("https://api.qogita.com/variants/link/8412122340780/", "View Product")</f>
        <v/>
      </c>
    </row>
    <row r="520">
      <c r="A520" t="inlineStr">
        <is>
          <t>8711661006653</t>
        </is>
      </c>
      <c r="B520" t="inlineStr">
        <is>
          <t>Herome Herome Hydrating Nail Gel</t>
        </is>
      </c>
      <c r="C520" t="inlineStr">
        <is>
          <t>Nail Care Sets</t>
        </is>
      </c>
      <c r="D520" t="inlineStr">
        <is>
          <t>Herome</t>
        </is>
      </c>
      <c r="E520" t="n">
        <v>6.81</v>
      </c>
      <c r="F520" t="n">
        <v>1</v>
      </c>
      <c r="G520" t="n">
        <v>11</v>
      </c>
      <c r="H520" t="inlineStr">
        <is>
          <t>No</t>
        </is>
      </c>
      <c r="I520" t="inlineStr"/>
      <c r="J520" t="n">
        <v>1</v>
      </c>
      <c r="K520" t="n">
        <v>11</v>
      </c>
      <c r="L520" s="5">
        <f>HYPERLINK("https://api.qogita.com/variants/link/8711661006653/", "View Product")</f>
        <v/>
      </c>
    </row>
    <row r="521">
      <c r="A521" t="inlineStr">
        <is>
          <t>8711661022332</t>
        </is>
      </c>
      <c r="B521" t="inlineStr">
        <is>
          <t>Herome Nail Growth Explosion</t>
        </is>
      </c>
      <c r="C521" t="inlineStr">
        <is>
          <t>Nail Care Sets</t>
        </is>
      </c>
      <c r="D521" t="inlineStr">
        <is>
          <t>Herome</t>
        </is>
      </c>
      <c r="E521" t="n">
        <v>9.66</v>
      </c>
      <c r="F521" t="n">
        <v>1</v>
      </c>
      <c r="G521" t="n">
        <v>23</v>
      </c>
      <c r="H521" t="inlineStr">
        <is>
          <t>No</t>
        </is>
      </c>
      <c r="I521" t="inlineStr"/>
      <c r="J521" t="n">
        <v>1</v>
      </c>
      <c r="K521" t="n">
        <v>23</v>
      </c>
      <c r="L521" s="5">
        <f>HYPERLINK("https://api.qogita.com/variants/link/8711661022332/", "View Product")</f>
        <v/>
      </c>
    </row>
    <row r="522">
      <c r="A522" t="inlineStr">
        <is>
          <t>8720627900591</t>
        </is>
      </c>
      <c r="B522" t="inlineStr">
        <is>
          <t>NailPerfect LED/UV Sculpting Gel Cover Pink 14g</t>
        </is>
      </c>
      <c r="C522" t="inlineStr">
        <is>
          <t>Nail Care Sets</t>
        </is>
      </c>
      <c r="D522" t="inlineStr">
        <is>
          <t>Nail Perfect</t>
        </is>
      </c>
      <c r="E522" t="n">
        <v>7.3</v>
      </c>
      <c r="F522" t="n">
        <v>1</v>
      </c>
      <c r="G522" t="n">
        <v>1</v>
      </c>
      <c r="H522" t="inlineStr">
        <is>
          <t>No</t>
        </is>
      </c>
      <c r="I522" t="inlineStr"/>
      <c r="J522" t="n">
        <v>1</v>
      </c>
      <c r="K522" t="n">
        <v>1</v>
      </c>
      <c r="L522" s="5">
        <f>HYPERLINK("https://api.qogita.com/variants/link/8720627900591/", "View Product")</f>
        <v/>
      </c>
    </row>
    <row r="523">
      <c r="A523" t="inlineStr">
        <is>
          <t>8720627901383</t>
        </is>
      </c>
      <c r="B523" t="inlineStr">
        <is>
          <t>NailPerfect Sqeasy Liquid Watermelon 120ml</t>
        </is>
      </c>
      <c r="C523" t="inlineStr">
        <is>
          <t>Nail Oil</t>
        </is>
      </c>
      <c r="D523" t="inlineStr">
        <is>
          <t>Nailperfect</t>
        </is>
      </c>
      <c r="E523" t="n">
        <v>4.05</v>
      </c>
      <c r="F523" t="n">
        <v>1</v>
      </c>
      <c r="G523" t="n">
        <v>3</v>
      </c>
      <c r="H523" t="inlineStr">
        <is>
          <t>No</t>
        </is>
      </c>
      <c r="I523" t="inlineStr"/>
      <c r="J523" t="n">
        <v>1</v>
      </c>
      <c r="K523" t="n">
        <v>3</v>
      </c>
      <c r="L523" s="5">
        <f>HYPERLINK("https://api.qogita.com/variants/link/8720627901383/", "View Product")</f>
        <v/>
      </c>
    </row>
    <row r="524">
      <c r="A524" t="inlineStr">
        <is>
          <t>3600531511661</t>
        </is>
      </c>
      <c r="B524" t="inlineStr">
        <is>
          <t>Essie Speed Setter Top Coat Ultra Fast Dry 135ml</t>
        </is>
      </c>
      <c r="C524" t="inlineStr">
        <is>
          <t>Nail Care Sets</t>
        </is>
      </c>
      <c r="D524" t="inlineStr">
        <is>
          <t>Essie</t>
        </is>
      </c>
      <c r="E524" t="n">
        <v>4.49</v>
      </c>
      <c r="F524" t="n">
        <v>1</v>
      </c>
      <c r="G524" t="n">
        <v>8</v>
      </c>
      <c r="H524" t="inlineStr">
        <is>
          <t>No</t>
        </is>
      </c>
      <c r="I524" t="inlineStr"/>
      <c r="J524" t="n">
        <v>3</v>
      </c>
      <c r="K524" t="n">
        <v>24</v>
      </c>
      <c r="L524" s="5">
        <f>HYPERLINK("https://api.qogita.com/variants/link/3600531511661/", "View Product")</f>
        <v/>
      </c>
    </row>
    <row r="525">
      <c r="A525" t="inlineStr">
        <is>
          <t>4820121599841</t>
        </is>
      </c>
      <c r="B525" t="inlineStr">
        <is>
          <t>Staleks Pododisc Expert Pedicure Disc Made of Stainless Steel</t>
        </is>
      </c>
      <c r="C525" t="inlineStr">
        <is>
          <t>Nail Clippers &amp; Tools</t>
        </is>
      </c>
      <c r="D525" t="inlineStr">
        <is>
          <t>Staleks</t>
        </is>
      </c>
      <c r="E525" t="n">
        <v>6.15</v>
      </c>
      <c r="F525" t="n">
        <v>1</v>
      </c>
      <c r="G525" t="n">
        <v>1</v>
      </c>
      <c r="H525" t="inlineStr">
        <is>
          <t>No</t>
        </is>
      </c>
      <c r="I525" t="inlineStr"/>
      <c r="J525" t="n">
        <v>1</v>
      </c>
      <c r="K525" t="n">
        <v>1</v>
      </c>
      <c r="L525" s="5">
        <f>HYPERLINK("https://api.qogita.com/variants/link/4820121599841/", "View Product")</f>
        <v/>
      </c>
    </row>
    <row r="526">
      <c r="A526" t="inlineStr">
        <is>
          <t>4820241064212</t>
        </is>
      </c>
      <c r="B526" t="inlineStr">
        <is>
          <t>Staleks Cuticle Scissors With A Curved Tip Smart 41 Type 3 Professional Cuticle Scissors With Hook</t>
        </is>
      </c>
      <c r="C526" t="inlineStr">
        <is>
          <t>Nail Clippers &amp; Tools</t>
        </is>
      </c>
      <c r="D526" t="inlineStr">
        <is>
          <t>Staleks</t>
        </is>
      </c>
      <c r="E526" t="n">
        <v>8.15</v>
      </c>
      <c r="F526" t="n">
        <v>1</v>
      </c>
      <c r="G526" t="n">
        <v>9</v>
      </c>
      <c r="H526" t="inlineStr">
        <is>
          <t>No</t>
        </is>
      </c>
      <c r="I526" t="inlineStr"/>
      <c r="J526" t="n">
        <v>2</v>
      </c>
      <c r="K526" t="n">
        <v>10</v>
      </c>
      <c r="L526" s="5">
        <f>HYPERLINK("https://api.qogita.com/variants/link/4820241064212/", "View Product")</f>
        <v/>
      </c>
    </row>
    <row r="527">
      <c r="A527" t="inlineStr">
        <is>
          <t>4820241067305</t>
        </is>
      </c>
      <c r="B527" t="inlineStr">
        <is>
          <t>Staleks Expert 51 Type 3 Professional Cuticle Scissors With Hook</t>
        </is>
      </c>
      <c r="C527" t="inlineStr">
        <is>
          <t>Nail Clippers &amp; Tools</t>
        </is>
      </c>
      <c r="D527" t="inlineStr">
        <is>
          <t>Staleks</t>
        </is>
      </c>
      <c r="E527" t="n">
        <v>9.35</v>
      </c>
      <c r="F527" t="n">
        <v>1</v>
      </c>
      <c r="G527" t="n">
        <v>6</v>
      </c>
      <c r="H527" t="inlineStr">
        <is>
          <t>No</t>
        </is>
      </c>
      <c r="I527" t="inlineStr"/>
      <c r="J527" t="n">
        <v>2</v>
      </c>
      <c r="K527" t="n">
        <v>7</v>
      </c>
      <c r="L527" s="5">
        <f>HYPERLINK("https://api.qogita.com/variants/link/4820241067305/", "View Product")</f>
        <v/>
      </c>
    </row>
    <row r="528">
      <c r="A528" t="inlineStr">
        <is>
          <t>0764936302118</t>
        </is>
      </c>
      <c r="B528" t="inlineStr">
        <is>
          <t>Egyptian Magic All Purpose Skin Cream by Skin Balm 7.5ml</t>
        </is>
      </c>
      <c r="C528" t="inlineStr">
        <is>
          <t>Nail Clippers &amp; Tools</t>
        </is>
      </c>
      <c r="D528" t="inlineStr">
        <is>
          <t>Egyptian Magic</t>
        </is>
      </c>
      <c r="E528" t="n">
        <v>4.11</v>
      </c>
      <c r="F528" t="n">
        <v>6</v>
      </c>
      <c r="G528" t="n">
        <v>18</v>
      </c>
      <c r="H528" t="inlineStr">
        <is>
          <t>No</t>
        </is>
      </c>
      <c r="I528" t="inlineStr"/>
      <c r="J528" t="n">
        <v>1</v>
      </c>
      <c r="K528" t="n">
        <v>18</v>
      </c>
      <c r="L528" s="5">
        <f>HYPERLINK("https://api.qogita.com/variants/link/0764936302118/", "View Product")</f>
        <v/>
      </c>
    </row>
    <row r="529">
      <c r="A529" t="inlineStr">
        <is>
          <t>8025272928281</t>
        </is>
      </c>
      <c r="B529" t="inlineStr">
        <is>
          <t>Green Me Flower Nail Oil Nourishing Cuticle Oil 10ml</t>
        </is>
      </c>
      <c r="C529" t="inlineStr">
        <is>
          <t>Nail Oil</t>
        </is>
      </c>
      <c r="D529" t="inlineStr">
        <is>
          <t>Green Me</t>
        </is>
      </c>
      <c r="E529" t="n">
        <v>2.68</v>
      </c>
      <c r="F529" t="n">
        <v>1</v>
      </c>
      <c r="G529" t="n">
        <v>2</v>
      </c>
      <c r="H529" t="inlineStr">
        <is>
          <t>No</t>
        </is>
      </c>
      <c r="I529" t="inlineStr"/>
      <c r="J529" t="n">
        <v>1</v>
      </c>
      <c r="K529" t="n">
        <v>2</v>
      </c>
      <c r="L529" s="5">
        <f>HYPERLINK("https://api.qogita.com/variants/link/8025272928281/", "View Product")</f>
        <v/>
      </c>
    </row>
    <row r="530">
      <c r="A530" t="inlineStr">
        <is>
          <t>8809622446058</t>
        </is>
      </c>
      <c r="B530" t="inlineStr">
        <is>
          <t>Ohora Pro Washable Side File</t>
        </is>
      </c>
      <c r="C530" t="inlineStr">
        <is>
          <t>Nail Care</t>
        </is>
      </c>
      <c r="D530" t="inlineStr">
        <is>
          <t>Ohora</t>
        </is>
      </c>
      <c r="E530" t="n">
        <v>2.52</v>
      </c>
      <c r="F530" t="n">
        <v>1</v>
      </c>
      <c r="G530" t="n">
        <v>113</v>
      </c>
      <c r="H530" t="inlineStr">
        <is>
          <t>No</t>
        </is>
      </c>
      <c r="I530" t="inlineStr"/>
      <c r="J530" t="n">
        <v>1</v>
      </c>
      <c r="K530" t="n">
        <v>113</v>
      </c>
      <c r="L530" s="5">
        <f>HYPERLINK("https://api.qogita.com/variants/link/8809622446058/", "View Product")</f>
        <v/>
      </c>
    </row>
    <row r="531">
      <c r="A531" t="inlineStr">
        <is>
          <t>3323037664111</t>
        </is>
      </c>
      <c r="B531" t="inlineStr">
        <is>
          <t>Ecrinal Vitaminized Nail Hardener Liquid 10ml</t>
        </is>
      </c>
      <c r="C531" t="inlineStr">
        <is>
          <t>Nail Oil</t>
        </is>
      </c>
      <c r="D531" t="inlineStr">
        <is>
          <t>Ecrinal</t>
        </is>
      </c>
      <c r="E531" t="n">
        <v>5</v>
      </c>
      <c r="F531" t="n">
        <v>1</v>
      </c>
      <c r="G531" t="n">
        <v>3</v>
      </c>
      <c r="H531" t="inlineStr">
        <is>
          <t>No</t>
        </is>
      </c>
      <c r="I531" t="inlineStr"/>
      <c r="J531" t="n">
        <v>3</v>
      </c>
      <c r="K531" t="n">
        <v>7</v>
      </c>
      <c r="L531" s="5">
        <f>HYPERLINK("https://api.qogita.com/variants/link/3323037664111/", "View Product")</f>
        <v/>
      </c>
    </row>
    <row r="532">
      <c r="A532" t="inlineStr">
        <is>
          <t>3323039623024</t>
        </is>
      </c>
      <c r="B532" t="inlineStr">
        <is>
          <t>Akileine Onykoleine Nails 10ml</t>
        </is>
      </c>
      <c r="C532" t="inlineStr">
        <is>
          <t>Nail Oil</t>
        </is>
      </c>
      <c r="D532" t="inlineStr">
        <is>
          <t>Akileine</t>
        </is>
      </c>
      <c r="E532" t="n">
        <v>9.59</v>
      </c>
      <c r="F532" t="n">
        <v>1</v>
      </c>
      <c r="G532" t="n">
        <v>3</v>
      </c>
      <c r="H532" t="inlineStr">
        <is>
          <t>No</t>
        </is>
      </c>
      <c r="I532" t="inlineStr"/>
      <c r="J532" t="n">
        <v>1</v>
      </c>
      <c r="K532" t="n">
        <v>3</v>
      </c>
      <c r="L532" s="5">
        <f>HYPERLINK("https://api.qogita.com/variants/link/3323039623024/", "View Product")</f>
        <v/>
      </c>
    </row>
    <row r="533">
      <c r="A533" t="inlineStr">
        <is>
          <t>7618900905658</t>
        </is>
      </c>
      <c r="B533" t="inlineStr">
        <is>
          <t>Mavala Nailactan Damaged Nails 15ml Tube</t>
        </is>
      </c>
      <c r="C533" t="inlineStr">
        <is>
          <t>Nail Oil</t>
        </is>
      </c>
      <c r="D533" t="inlineStr">
        <is>
          <t>Mavala</t>
        </is>
      </c>
      <c r="E533" t="n">
        <v>12.37</v>
      </c>
      <c r="F533" t="n">
        <v>1</v>
      </c>
      <c r="G533" t="n">
        <v>2</v>
      </c>
      <c r="H533" t="inlineStr">
        <is>
          <t>No</t>
        </is>
      </c>
      <c r="I533" t="inlineStr"/>
      <c r="J533" t="n">
        <v>1</v>
      </c>
      <c r="K533" t="n">
        <v>2</v>
      </c>
      <c r="L533" s="5">
        <f>HYPERLINK("https://api.qogita.com/variants/link/7618900905658/", "View Product")</f>
        <v/>
      </c>
    </row>
    <row r="534">
      <c r="A534" t="inlineStr">
        <is>
          <t>8470002039179</t>
        </is>
      </c>
      <c r="B534" t="inlineStr">
        <is>
          <t>Unglax Nail Experts Nourishing Oil 10 Ml</t>
        </is>
      </c>
      <c r="C534" t="inlineStr">
        <is>
          <t>Nail Oil</t>
        </is>
      </c>
      <c r="D534" t="inlineStr">
        <is>
          <t>Unglax</t>
        </is>
      </c>
      <c r="E534" t="n">
        <v>8.76</v>
      </c>
      <c r="F534" t="n">
        <v>1</v>
      </c>
      <c r="G534" t="n">
        <v>1</v>
      </c>
      <c r="H534" t="inlineStr">
        <is>
          <t>No</t>
        </is>
      </c>
      <c r="I534" t="inlineStr"/>
      <c r="J534" t="n">
        <v>1</v>
      </c>
      <c r="K534" t="n">
        <v>1</v>
      </c>
      <c r="L534" s="5">
        <f>HYPERLINK("https://api.qogita.com/variants/link/8470002039179/", "View Product")</f>
        <v/>
      </c>
    </row>
    <row r="535">
      <c r="A535" t="inlineStr">
        <is>
          <t>0000042239611</t>
        </is>
      </c>
      <c r="B535" t="inlineStr">
        <is>
          <t>Dr. Hauschka Neem Nail &amp; Cuticle Pen</t>
        </is>
      </c>
      <c r="C535" t="inlineStr">
        <is>
          <t>Cuticle Removers</t>
        </is>
      </c>
      <c r="D535" t="inlineStr">
        <is>
          <t>Dr Hauschka</t>
        </is>
      </c>
      <c r="E535" t="n">
        <v>7.15</v>
      </c>
      <c r="F535" t="n">
        <v>1</v>
      </c>
      <c r="G535" t="n">
        <v>6</v>
      </c>
      <c r="H535" t="inlineStr">
        <is>
          <t>No</t>
        </is>
      </c>
      <c r="I535" t="inlineStr"/>
      <c r="J535" t="n">
        <v>1</v>
      </c>
      <c r="K535" t="n">
        <v>6</v>
      </c>
      <c r="L535" s="5">
        <f>HYPERLINK("https://api.qogita.com/variants/link/0000042239611/", "View Product")</f>
        <v/>
      </c>
    </row>
    <row r="536">
      <c r="A536" t="inlineStr">
        <is>
          <t>0074170453164</t>
        </is>
      </c>
      <c r="B536" t="inlineStr">
        <is>
          <t>Sally Hansen Moisturizing Cuticle Rehab Oil for Restoring Dry Cuticles 8.8ml</t>
        </is>
      </c>
      <c r="C536" t="inlineStr">
        <is>
          <t>Nail Oil</t>
        </is>
      </c>
      <c r="D536" t="inlineStr">
        <is>
          <t>Coty</t>
        </is>
      </c>
      <c r="E536" t="n">
        <v>2.55</v>
      </c>
      <c r="F536" t="n">
        <v>1</v>
      </c>
      <c r="G536" t="n">
        <v>32</v>
      </c>
      <c r="H536" t="inlineStr">
        <is>
          <t>No</t>
        </is>
      </c>
      <c r="I536" t="inlineStr"/>
      <c r="J536" t="n">
        <v>2</v>
      </c>
      <c r="K536" t="n">
        <v>50</v>
      </c>
      <c r="L536" s="5">
        <f>HYPERLINK("https://api.qogita.com/variants/link/0074170453164/", "View Product")</f>
        <v/>
      </c>
    </row>
    <row r="537">
      <c r="A537" t="inlineStr">
        <is>
          <t>0075280025586</t>
        </is>
      </c>
      <c r="B537" t="inlineStr">
        <is>
          <t>Sally Hansen Beauty Tools Treat Your Toes Control Grip Toenail Clipper</t>
        </is>
      </c>
      <c r="C537" t="inlineStr">
        <is>
          <t>Nail Clippers &amp; Tools</t>
        </is>
      </c>
      <c r="D537" t="inlineStr">
        <is>
          <t>Sally Hansen</t>
        </is>
      </c>
      <c r="E537" t="n">
        <v>2.25</v>
      </c>
      <c r="F537" t="n">
        <v>1</v>
      </c>
      <c r="G537" t="n">
        <v>9</v>
      </c>
      <c r="H537" t="inlineStr">
        <is>
          <t>No</t>
        </is>
      </c>
      <c r="I537" t="inlineStr"/>
      <c r="J537" t="n">
        <v>1</v>
      </c>
      <c r="K537" t="n">
        <v>9</v>
      </c>
      <c r="L537" s="5">
        <f>HYPERLINK("https://api.qogita.com/variants/link/0075280025586/", "View Product")</f>
        <v/>
      </c>
    </row>
    <row r="538">
      <c r="A538" t="inlineStr">
        <is>
          <t>0075280025593</t>
        </is>
      </c>
      <c r="B538" t="inlineStr">
        <is>
          <t>Sally Hansen Travel Manicure Cuticle Pliers</t>
        </is>
      </c>
      <c r="C538" t="inlineStr">
        <is>
          <t>Cuticle Removers</t>
        </is>
      </c>
      <c r="D538" t="inlineStr">
        <is>
          <t>Sally Hansen</t>
        </is>
      </c>
      <c r="E538" t="n">
        <v>2.79</v>
      </c>
      <c r="F538" t="n">
        <v>1</v>
      </c>
      <c r="G538" t="n">
        <v>200</v>
      </c>
      <c r="H538" t="inlineStr">
        <is>
          <t>No</t>
        </is>
      </c>
      <c r="I538" t="inlineStr"/>
      <c r="J538" t="n">
        <v>1</v>
      </c>
      <c r="K538" t="n">
        <v>200</v>
      </c>
      <c r="L538" s="5">
        <f>HYPERLINK("https://api.qogita.com/variants/link/0075280025593/", "View Product")</f>
        <v/>
      </c>
    </row>
    <row r="539">
      <c r="A539" t="inlineStr">
        <is>
          <t>0818463022350</t>
        </is>
      </c>
      <c r="B539" t="inlineStr">
        <is>
          <t>Mani Moments Green Tea Detox Manicure Set</t>
        </is>
      </c>
      <c r="C539" t="inlineStr">
        <is>
          <t>Manicure Sets</t>
        </is>
      </c>
      <c r="D539" t="inlineStr">
        <is>
          <t>Mani Moments</t>
        </is>
      </c>
      <c r="E539" t="n">
        <v>3.84</v>
      </c>
      <c r="F539" t="n">
        <v>1</v>
      </c>
      <c r="G539" t="n">
        <v>26</v>
      </c>
      <c r="H539" t="inlineStr">
        <is>
          <t>No</t>
        </is>
      </c>
      <c r="I539" t="inlineStr"/>
      <c r="J539" t="n">
        <v>1</v>
      </c>
      <c r="K539" t="n">
        <v>26</v>
      </c>
      <c r="L539" s="5">
        <f>HYPERLINK("https://api.qogita.com/variants/link/0818463022350/", "View Product")</f>
        <v/>
      </c>
    </row>
    <row r="540">
      <c r="A540" t="inlineStr">
        <is>
          <t>1220000220270</t>
        </is>
      </c>
      <c r="B540" t="inlineStr">
        <is>
          <t>Frida Baby Nail Clipper With File</t>
        </is>
      </c>
      <c r="C540" t="inlineStr">
        <is>
          <t>Nail Clippers &amp; Tools</t>
        </is>
      </c>
      <c r="D540" t="inlineStr">
        <is>
          <t>Frida</t>
        </is>
      </c>
      <c r="E540" t="n">
        <v>7.82</v>
      </c>
      <c r="F540" t="n">
        <v>1</v>
      </c>
      <c r="G540" t="n">
        <v>4</v>
      </c>
      <c r="H540" t="inlineStr">
        <is>
          <t>No</t>
        </is>
      </c>
      <c r="I540" t="inlineStr"/>
      <c r="J540" t="n">
        <v>1</v>
      </c>
      <c r="K540" t="n">
        <v>4</v>
      </c>
      <c r="L540" s="5">
        <f>HYPERLINK("https://api.qogita.com/variants/link/1220000220270/", "View Product")</f>
        <v/>
      </c>
    </row>
    <row r="541">
      <c r="A541" t="inlineStr">
        <is>
          <t>1220000221345</t>
        </is>
      </c>
      <c r="B541" t="inlineStr">
        <is>
          <t>Frida Baby Electric Nail Buffer Kit Safe Nail File &amp; Trimmer for Newborns and Toddlers</t>
        </is>
      </c>
      <c r="C541" t="inlineStr">
        <is>
          <t>Nail Clippers &amp; Tools</t>
        </is>
      </c>
      <c r="D541" t="inlineStr">
        <is>
          <t>Frida</t>
        </is>
      </c>
      <c r="E541" t="n">
        <v>17.83</v>
      </c>
      <c r="F541" t="n">
        <v>1</v>
      </c>
      <c r="G541" t="n">
        <v>4</v>
      </c>
      <c r="H541" t="inlineStr">
        <is>
          <t>No</t>
        </is>
      </c>
      <c r="I541" t="inlineStr"/>
      <c r="J541" t="n">
        <v>1</v>
      </c>
      <c r="K541" t="n">
        <v>4</v>
      </c>
      <c r="L541" s="5">
        <f>HYPERLINK("https://api.qogita.com/variants/link/1220000221345/", "View Product")</f>
        <v/>
      </c>
    </row>
    <row r="542">
      <c r="A542" t="inlineStr">
        <is>
          <t>3031445000864</t>
        </is>
      </c>
      <c r="B542" t="inlineStr">
        <is>
          <t>Killys Japanese Nail Care Banana Nail File 180/240 Pink</t>
        </is>
      </c>
      <c r="C542" t="inlineStr">
        <is>
          <t>Nail Care</t>
        </is>
      </c>
      <c r="D542" t="inlineStr">
        <is>
          <t>Killys</t>
        </is>
      </c>
      <c r="E542" t="n">
        <v>1.06</v>
      </c>
      <c r="F542" t="n">
        <v>1</v>
      </c>
      <c r="G542" t="n">
        <v>34</v>
      </c>
      <c r="H542" t="inlineStr">
        <is>
          <t>No</t>
        </is>
      </c>
      <c r="I542" t="inlineStr"/>
      <c r="J542" t="n">
        <v>1</v>
      </c>
      <c r="K542" t="n">
        <v>34</v>
      </c>
      <c r="L542" s="5">
        <f>HYPERLINK("https://api.qogita.com/variants/link/3031445000864/", "View Product")</f>
        <v/>
      </c>
    </row>
    <row r="543">
      <c r="A543" t="inlineStr">
        <is>
          <t>3031445000918</t>
        </is>
      </c>
      <c r="B543" t="inlineStr">
        <is>
          <t>Killys Manicure Brush - Essential Tool For Nail Care</t>
        </is>
      </c>
      <c r="C543" t="inlineStr">
        <is>
          <t>Nail Clippers &amp; Tools</t>
        </is>
      </c>
      <c r="D543" t="inlineStr">
        <is>
          <t>Killys</t>
        </is>
      </c>
      <c r="E543" t="n">
        <v>1.3</v>
      </c>
      <c r="F543" t="n">
        <v>1</v>
      </c>
      <c r="G543" t="n">
        <v>6</v>
      </c>
      <c r="H543" t="inlineStr">
        <is>
          <t>No</t>
        </is>
      </c>
      <c r="I543" t="inlineStr"/>
      <c r="J543" t="n">
        <v>1</v>
      </c>
      <c r="K543" t="n">
        <v>6</v>
      </c>
      <c r="L543" s="5">
        <f>HYPERLINK("https://api.qogita.com/variants/link/3031445000918/", "View Product")</f>
        <v/>
      </c>
    </row>
    <row r="544">
      <c r="A544" t="inlineStr">
        <is>
          <t>3031445001045</t>
        </is>
      </c>
      <c r="B544" t="inlineStr">
        <is>
          <t>Killys Rainbow Cuticle Nippers 5mm - Perfect For Nail Care</t>
        </is>
      </c>
      <c r="C544" t="inlineStr">
        <is>
          <t>Nail Clippers &amp; Tools</t>
        </is>
      </c>
      <c r="D544" t="inlineStr">
        <is>
          <t>Killys</t>
        </is>
      </c>
      <c r="E544" t="n">
        <v>3.91</v>
      </c>
      <c r="F544" t="n">
        <v>1</v>
      </c>
      <c r="G544" t="n">
        <v>8</v>
      </c>
      <c r="H544" t="inlineStr">
        <is>
          <t>No</t>
        </is>
      </c>
      <c r="I544" t="inlineStr"/>
      <c r="J544" t="n">
        <v>1</v>
      </c>
      <c r="K544" t="n">
        <v>8</v>
      </c>
      <c r="L544" s="5">
        <f>HYPERLINK("https://api.qogita.com/variants/link/3031445001045/", "View Product")</f>
        <v/>
      </c>
    </row>
    <row r="545">
      <c r="A545" t="inlineStr">
        <is>
          <t>3031445001069</t>
        </is>
      </c>
      <c r="B545" t="inlineStr">
        <is>
          <t>Perfectly Formed Blade Nail Clipper Small Rainbow Killys</t>
        </is>
      </c>
      <c r="C545" t="inlineStr">
        <is>
          <t>Nail Clippers &amp; Tools</t>
        </is>
      </c>
      <c r="D545" t="inlineStr">
        <is>
          <t>Killys</t>
        </is>
      </c>
      <c r="E545" t="n">
        <v>1.42</v>
      </c>
      <c r="F545" t="n">
        <v>1</v>
      </c>
      <c r="G545" t="n">
        <v>9</v>
      </c>
      <c r="H545" t="inlineStr">
        <is>
          <t>No</t>
        </is>
      </c>
      <c r="I545" t="inlineStr"/>
      <c r="J545" t="n">
        <v>1</v>
      </c>
      <c r="K545" t="n">
        <v>9</v>
      </c>
      <c r="L545" s="5">
        <f>HYPERLINK("https://api.qogita.com/variants/link/3031445001069/", "View Product")</f>
        <v/>
      </c>
    </row>
    <row r="546">
      <c r="A546" t="inlineStr">
        <is>
          <t>3031445002745</t>
        </is>
      </c>
      <c r="B546" t="inlineStr">
        <is>
          <t>Killys Floralove Nail Scissors - Perfect For Nail Care</t>
        </is>
      </c>
      <c r="C546" t="inlineStr">
        <is>
          <t>Nail Clippers &amp; Tools</t>
        </is>
      </c>
      <c r="D546" t="inlineStr">
        <is>
          <t>Killys</t>
        </is>
      </c>
      <c r="E546" t="n">
        <v>1.91</v>
      </c>
      <c r="F546" t="n">
        <v>1</v>
      </c>
      <c r="G546" t="n">
        <v>15</v>
      </c>
      <c r="H546" t="inlineStr">
        <is>
          <t>No</t>
        </is>
      </c>
      <c r="I546" t="inlineStr"/>
      <c r="J546" t="n">
        <v>1</v>
      </c>
      <c r="K546" t="n">
        <v>15</v>
      </c>
      <c r="L546" s="5">
        <f>HYPERLINK("https://api.qogita.com/variants/link/3031445002745/", "View Product")</f>
        <v/>
      </c>
    </row>
    <row r="547">
      <c r="A547" t="inlineStr">
        <is>
          <t>3031445002790</t>
        </is>
      </c>
      <c r="B547" t="inlineStr">
        <is>
          <t>Killys Floralove Paper Nail File - Banana Purple 180/240</t>
        </is>
      </c>
      <c r="C547" t="inlineStr">
        <is>
          <t>Nail Care</t>
        </is>
      </c>
      <c r="D547" t="inlineStr">
        <is>
          <t>Killys</t>
        </is>
      </c>
      <c r="E547" t="n">
        <v>1.04</v>
      </c>
      <c r="F547" t="n">
        <v>1</v>
      </c>
      <c r="G547" t="n">
        <v>19</v>
      </c>
      <c r="H547" t="inlineStr">
        <is>
          <t>No</t>
        </is>
      </c>
      <c r="I547" t="inlineStr"/>
      <c r="J547" t="n">
        <v>1</v>
      </c>
      <c r="K547" t="n">
        <v>19</v>
      </c>
      <c r="L547" s="5">
        <f>HYPERLINK("https://api.qogita.com/variants/link/3031445002790/", "View Product")</f>
        <v/>
      </c>
    </row>
    <row r="548">
      <c r="A548" t="inlineStr">
        <is>
          <t>3031445003391</t>
        </is>
      </c>
      <c r="B548" t="inlineStr">
        <is>
          <t>Killys Floralove Nail Clipper - A Beautiful Floral Design Nail Clipper</t>
        </is>
      </c>
      <c r="C548" t="inlineStr">
        <is>
          <t>Nail Clippers &amp; Tools</t>
        </is>
      </c>
      <c r="D548" t="inlineStr">
        <is>
          <t>Killys</t>
        </is>
      </c>
      <c r="E548" t="n">
        <v>1.11</v>
      </c>
      <c r="F548" t="n">
        <v>1</v>
      </c>
      <c r="G548" t="n">
        <v>8</v>
      </c>
      <c r="H548" t="inlineStr">
        <is>
          <t>No</t>
        </is>
      </c>
      <c r="I548" t="inlineStr"/>
      <c r="J548" t="n">
        <v>1</v>
      </c>
      <c r="K548" t="n">
        <v>8</v>
      </c>
      <c r="L548" s="5">
        <f>HYPERLINK("https://api.qogita.com/variants/link/3031445003391/", "View Product")</f>
        <v/>
      </c>
    </row>
    <row r="549">
      <c r="A549" t="inlineStr">
        <is>
          <t>3031445009867</t>
        </is>
      </c>
      <c r="B549" t="inlineStr">
        <is>
          <t>Killys For Men Accessory Set - Nail Scissors, Nail Clippers, Nail File, Tweezers</t>
        </is>
      </c>
      <c r="C549" t="inlineStr">
        <is>
          <t>Manicure Sets</t>
        </is>
      </c>
      <c r="D549" t="inlineStr">
        <is>
          <t>Killys</t>
        </is>
      </c>
      <c r="E549" t="n">
        <v>3.04</v>
      </c>
      <c r="F549" t="n">
        <v>1</v>
      </c>
      <c r="G549" t="n">
        <v>11</v>
      </c>
      <c r="H549" t="inlineStr">
        <is>
          <t>No</t>
        </is>
      </c>
      <c r="I549" t="inlineStr"/>
      <c r="J549" t="n">
        <v>1</v>
      </c>
      <c r="K549" t="n">
        <v>11</v>
      </c>
      <c r="L549" s="5">
        <f>HYPERLINK("https://api.qogita.com/variants/link/3031445009867/", "View Product")</f>
        <v/>
      </c>
    </row>
    <row r="550">
      <c r="A550" t="inlineStr">
        <is>
          <t>3031445009959</t>
        </is>
      </c>
      <c r="B550" t="inlineStr">
        <is>
          <t>For Men Cuticle Nippers KillyS</t>
        </is>
      </c>
      <c r="C550" t="inlineStr">
        <is>
          <t>Cuticle Removers</t>
        </is>
      </c>
      <c r="D550" t="inlineStr">
        <is>
          <t>Killys</t>
        </is>
      </c>
      <c r="E550" t="n">
        <v>3.41</v>
      </c>
      <c r="F550" t="n">
        <v>1</v>
      </c>
      <c r="G550" t="n">
        <v>5</v>
      </c>
      <c r="H550" t="inlineStr">
        <is>
          <t>No</t>
        </is>
      </c>
      <c r="I550" t="inlineStr"/>
      <c r="J550" t="n">
        <v>1</v>
      </c>
      <c r="K550" t="n">
        <v>5</v>
      </c>
      <c r="L550" s="5">
        <f>HYPERLINK("https://api.qogita.com/variants/link/3031445009959/", "View Product")</f>
        <v/>
      </c>
    </row>
    <row r="551">
      <c r="A551" t="inlineStr">
        <is>
          <t>3031445009973</t>
        </is>
      </c>
      <c r="B551" t="inlineStr">
        <is>
          <t>Killys For Men Nail Clipper Large Nail Cutter</t>
        </is>
      </c>
      <c r="C551" t="inlineStr">
        <is>
          <t>Nail Clippers &amp; Tools</t>
        </is>
      </c>
      <c r="D551" t="inlineStr">
        <is>
          <t>Killys</t>
        </is>
      </c>
      <c r="E551" t="n">
        <v>1.48</v>
      </c>
      <c r="F551" t="n">
        <v>1</v>
      </c>
      <c r="G551" t="n">
        <v>28</v>
      </c>
      <c r="H551" t="inlineStr">
        <is>
          <t>No</t>
        </is>
      </c>
      <c r="I551" t="inlineStr"/>
      <c r="J551" t="n">
        <v>1</v>
      </c>
      <c r="K551" t="n">
        <v>28</v>
      </c>
      <c r="L551" s="5">
        <f>HYPERLINK("https://api.qogita.com/variants/link/3031445009973/", "View Product")</f>
        <v/>
      </c>
    </row>
    <row r="552">
      <c r="A552" t="inlineStr">
        <is>
          <t>3031445009997</t>
        </is>
      </c>
      <c r="B552" t="inlineStr">
        <is>
          <t>Killys For Men Nail Scissors - Precision Nail Care Tool</t>
        </is>
      </c>
      <c r="C552" t="inlineStr">
        <is>
          <t>Nail Clippers &amp; Tools</t>
        </is>
      </c>
      <c r="D552" t="inlineStr">
        <is>
          <t>Killys</t>
        </is>
      </c>
      <c r="E552" t="n">
        <v>3.29</v>
      </c>
      <c r="F552" t="n">
        <v>1</v>
      </c>
      <c r="G552" t="n">
        <v>15</v>
      </c>
      <c r="H552" t="inlineStr">
        <is>
          <t>No</t>
        </is>
      </c>
      <c r="I552" t="inlineStr"/>
      <c r="J552" t="n">
        <v>1</v>
      </c>
      <c r="K552" t="n">
        <v>15</v>
      </c>
      <c r="L552" s="5">
        <f>HYPERLINK("https://api.qogita.com/variants/link/3031445009997/", "View Product")</f>
        <v/>
      </c>
    </row>
    <row r="553">
      <c r="A553" t="inlineStr">
        <is>
          <t>3529311221005</t>
        </is>
      </c>
      <c r="B553" t="inlineStr">
        <is>
          <t>Peggy Sage 2-Way Nail File 400/400 White</t>
        </is>
      </c>
      <c r="C553" t="inlineStr">
        <is>
          <t>Nail Care</t>
        </is>
      </c>
      <c r="D553" t="inlineStr">
        <is>
          <t>Peggy Sage</t>
        </is>
      </c>
      <c r="E553" t="n">
        <v>1.62</v>
      </c>
      <c r="F553" t="n">
        <v>1</v>
      </c>
      <c r="G553" t="n">
        <v>5</v>
      </c>
      <c r="H553" t="inlineStr">
        <is>
          <t>No</t>
        </is>
      </c>
      <c r="I553" t="inlineStr"/>
      <c r="J553" t="n">
        <v>1</v>
      </c>
      <c r="K553" t="n">
        <v>5</v>
      </c>
      <c r="L553" s="5">
        <f>HYPERLINK("https://api.qogita.com/variants/link/3529311221005/", "View Product")</f>
        <v/>
      </c>
    </row>
    <row r="554">
      <c r="A554" t="inlineStr">
        <is>
          <t>3529311225027</t>
        </is>
      </c>
      <c r="B554" t="inlineStr">
        <is>
          <t>Peggy Sage Black Double-Sided Nail Files 100/180 Grit Banana Shape</t>
        </is>
      </c>
      <c r="C554" t="inlineStr">
        <is>
          <t>Nail Care</t>
        </is>
      </c>
      <c r="D554" t="inlineStr">
        <is>
          <t>Peggy Sage</t>
        </is>
      </c>
      <c r="E554" t="n">
        <v>1.62</v>
      </c>
      <c r="F554" t="n">
        <v>1</v>
      </c>
      <c r="G554" t="n">
        <v>8</v>
      </c>
      <c r="H554" t="inlineStr">
        <is>
          <t>No</t>
        </is>
      </c>
      <c r="I554" t="inlineStr"/>
      <c r="J554" t="n">
        <v>1</v>
      </c>
      <c r="K554" t="n">
        <v>8</v>
      </c>
      <c r="L554" s="5">
        <f>HYPERLINK("https://api.qogita.com/variants/link/3529311225027/", "View Product")</f>
        <v/>
      </c>
    </row>
    <row r="555">
      <c r="A555" t="inlineStr">
        <is>
          <t>3529311225034</t>
        </is>
      </c>
      <c r="B555" t="inlineStr">
        <is>
          <t>Peggy Sage 2-Way Nail File Coarse 100/180 White</t>
        </is>
      </c>
      <c r="C555" t="inlineStr">
        <is>
          <t>Nail Care</t>
        </is>
      </c>
      <c r="D555" t="inlineStr">
        <is>
          <t>Peggy Sage</t>
        </is>
      </c>
      <c r="E555" t="n">
        <v>1.53</v>
      </c>
      <c r="F555" t="n">
        <v>1</v>
      </c>
      <c r="G555" t="n">
        <v>9</v>
      </c>
      <c r="H555" t="inlineStr">
        <is>
          <t>No</t>
        </is>
      </c>
      <c r="I555" t="inlineStr"/>
      <c r="J555" t="n">
        <v>1</v>
      </c>
      <c r="K555" t="n">
        <v>9</v>
      </c>
      <c r="L555" s="5">
        <f>HYPERLINK("https://api.qogita.com/variants/link/3529311225034/", "View Product")</f>
        <v/>
      </c>
    </row>
    <row r="556">
      <c r="A556" t="inlineStr">
        <is>
          <t>3529311226734</t>
        </is>
      </c>
      <c r="B556" t="inlineStr">
        <is>
          <t>Peggy Sage 2-Way Origin Nail File Medium 180/240 Fuchsia</t>
        </is>
      </c>
      <c r="C556" t="inlineStr">
        <is>
          <t>Nail Care</t>
        </is>
      </c>
      <c r="D556" t="inlineStr">
        <is>
          <t>Peggy Sage</t>
        </is>
      </c>
      <c r="E556" t="n">
        <v>1.62</v>
      </c>
      <c r="F556" t="n">
        <v>1</v>
      </c>
      <c r="G556" t="n">
        <v>7</v>
      </c>
      <c r="H556" t="inlineStr">
        <is>
          <t>No</t>
        </is>
      </c>
      <c r="I556" t="inlineStr"/>
      <c r="J556" t="n">
        <v>1</v>
      </c>
      <c r="K556" t="n">
        <v>7</v>
      </c>
      <c r="L556" s="5">
        <f>HYPERLINK("https://api.qogita.com/variants/link/3529311226734/", "View Product")</f>
        <v/>
      </c>
    </row>
    <row r="557">
      <c r="A557" t="inlineStr">
        <is>
          <t>3529311227014</t>
        </is>
      </c>
      <c r="B557" t="inlineStr">
        <is>
          <t>Peggy Sage 2-Way Nail File Coarse Rectangular Double-Sided 100/180 Black</t>
        </is>
      </c>
      <c r="C557" t="inlineStr">
        <is>
          <t>Nail Care</t>
        </is>
      </c>
      <c r="D557" t="inlineStr">
        <is>
          <t>Peggy Sage</t>
        </is>
      </c>
      <c r="E557" t="n">
        <v>1.53</v>
      </c>
      <c r="F557" t="n">
        <v>1</v>
      </c>
      <c r="G557" t="n">
        <v>4</v>
      </c>
      <c r="H557" t="inlineStr">
        <is>
          <t>No</t>
        </is>
      </c>
      <c r="I557" t="inlineStr"/>
      <c r="J557" t="n">
        <v>1</v>
      </c>
      <c r="K557" t="n">
        <v>4</v>
      </c>
      <c r="L557" s="5">
        <f>HYPERLINK("https://api.qogita.com/variants/link/3529311227014/", "View Product")</f>
        <v/>
      </c>
    </row>
    <row r="558">
      <c r="A558" t="inlineStr">
        <is>
          <t>3529311227526</t>
        </is>
      </c>
      <c r="B558" t="inlineStr">
        <is>
          <t>Peggy Sage 2-Way Nail File Medium Half-Moon 180/180</t>
        </is>
      </c>
      <c r="C558" t="inlineStr">
        <is>
          <t>Nail Care</t>
        </is>
      </c>
      <c r="D558" t="inlineStr">
        <is>
          <t>Peggy Sage</t>
        </is>
      </c>
      <c r="E558" t="n">
        <v>1.53</v>
      </c>
      <c r="F558" t="n">
        <v>1</v>
      </c>
      <c r="G558" t="n">
        <v>10</v>
      </c>
      <c r="H558" t="inlineStr">
        <is>
          <t>No</t>
        </is>
      </c>
      <c r="I558" t="inlineStr"/>
      <c r="J558" t="n">
        <v>1</v>
      </c>
      <c r="K558" t="n">
        <v>10</v>
      </c>
      <c r="L558" s="5">
        <f>HYPERLINK("https://api.qogita.com/variants/link/3529311227526/", "View Product")</f>
        <v/>
      </c>
    </row>
    <row r="559">
      <c r="A559" t="inlineStr">
        <is>
          <t>3529313000165</t>
        </is>
      </c>
      <c r="B559" t="inlineStr">
        <is>
          <t>Peggy Sage Nail Clipper 300016</t>
        </is>
      </c>
      <c r="C559" t="inlineStr">
        <is>
          <t>Nail Clippers &amp; Tools</t>
        </is>
      </c>
      <c r="D559" t="inlineStr">
        <is>
          <t>Peggy Sage</t>
        </is>
      </c>
      <c r="E559" t="n">
        <v>2.71</v>
      </c>
      <c r="F559" t="n">
        <v>1</v>
      </c>
      <c r="G559" t="n">
        <v>1</v>
      </c>
      <c r="H559" t="inlineStr">
        <is>
          <t>No</t>
        </is>
      </c>
      <c r="I559" t="inlineStr"/>
      <c r="J559" t="n">
        <v>1</v>
      </c>
      <c r="K559" t="n">
        <v>1</v>
      </c>
      <c r="L559" s="5">
        <f>HYPERLINK("https://api.qogita.com/variants/link/3529313000165/", "View Product")</f>
        <v/>
      </c>
    </row>
    <row r="560">
      <c r="A560" t="inlineStr">
        <is>
          <t>3662263220051</t>
        </is>
      </c>
      <c r="B560" t="inlineStr">
        <is>
          <t>Manucurist Nourishing Nail Oil Cuticle Oil for Nail Care and Regeneration</t>
        </is>
      </c>
      <c r="C560" t="inlineStr">
        <is>
          <t>Nail Oil</t>
        </is>
      </c>
      <c r="D560" t="inlineStr">
        <is>
          <t>Manucurist</t>
        </is>
      </c>
      <c r="E560" t="n">
        <v>9.199999999999999</v>
      </c>
      <c r="F560" t="n">
        <v>1</v>
      </c>
      <c r="G560" t="n">
        <v>26</v>
      </c>
      <c r="H560" t="inlineStr">
        <is>
          <t>No</t>
        </is>
      </c>
      <c r="I560" t="inlineStr"/>
      <c r="J560" t="n">
        <v>1</v>
      </c>
      <c r="K560" t="n">
        <v>26</v>
      </c>
      <c r="L560" s="5">
        <f>HYPERLINK("https://api.qogita.com/variants/link/3662263220051/", "View Product")</f>
        <v/>
      </c>
    </row>
    <row r="561">
      <c r="A561" t="inlineStr">
        <is>
          <t>3662263220099</t>
        </is>
      </c>
      <c r="B561" t="inlineStr">
        <is>
          <t>Manucurist Sos Nail Serum Mask 15ml Nourishing Treatment For Nails</t>
        </is>
      </c>
      <c r="C561" t="inlineStr">
        <is>
          <t>Nail Oil</t>
        </is>
      </c>
      <c r="D561" t="inlineStr">
        <is>
          <t>Manucurist</t>
        </is>
      </c>
      <c r="E561" t="n">
        <v>8.68</v>
      </c>
      <c r="F561" t="n">
        <v>1</v>
      </c>
      <c r="G561" t="n">
        <v>18</v>
      </c>
      <c r="H561" t="inlineStr">
        <is>
          <t>No</t>
        </is>
      </c>
      <c r="I561" t="inlineStr"/>
      <c r="J561" t="n">
        <v>1</v>
      </c>
      <c r="K561" t="n">
        <v>18</v>
      </c>
      <c r="L561" s="5">
        <f>HYPERLINK("https://api.qogita.com/variants/link/3662263220099/", "View Product")</f>
        <v/>
      </c>
    </row>
    <row r="562">
      <c r="A562" t="inlineStr">
        <is>
          <t>3662263220419</t>
        </is>
      </c>
      <c r="B562" t="inlineStr">
        <is>
          <t>Manucurist French Manicure Set Active Glow Raspberry and Green Crème Nail Polish - Pack of 4</t>
        </is>
      </c>
      <c r="C562" t="inlineStr">
        <is>
          <t>Manicure Sets</t>
        </is>
      </c>
      <c r="D562" t="inlineStr">
        <is>
          <t>Manucurist</t>
        </is>
      </c>
      <c r="E562" t="n">
        <v>21.23</v>
      </c>
      <c r="F562" t="n">
        <v>1</v>
      </c>
      <c r="G562" t="n">
        <v>1</v>
      </c>
      <c r="H562" t="inlineStr">
        <is>
          <t>No</t>
        </is>
      </c>
      <c r="I562" t="inlineStr"/>
      <c r="J562" t="n">
        <v>1</v>
      </c>
      <c r="K562" t="n">
        <v>1</v>
      </c>
      <c r="L562" s="5">
        <f>HYPERLINK("https://api.qogita.com/variants/link/3662263220419/", "View Product")</f>
        <v/>
      </c>
    </row>
    <row r="563">
      <c r="A563" t="inlineStr">
        <is>
          <t>3662263220600</t>
        </is>
      </c>
      <c r="B563" t="inlineStr">
        <is>
          <t>Manucurist Hydra Glow Duo Nail Treatment Kit Active Glow Raspberry &amp; Serum - Pack of 2</t>
        </is>
      </c>
      <c r="C563" t="inlineStr">
        <is>
          <t>Nail Care Sets</t>
        </is>
      </c>
      <c r="D563" t="inlineStr">
        <is>
          <t>Manucurist</t>
        </is>
      </c>
      <c r="E563" t="n">
        <v>15.2</v>
      </c>
      <c r="F563" t="n">
        <v>1</v>
      </c>
      <c r="G563" t="n">
        <v>41</v>
      </c>
      <c r="H563" t="inlineStr">
        <is>
          <t>No</t>
        </is>
      </c>
      <c r="I563" t="inlineStr"/>
      <c r="J563" t="n">
        <v>1</v>
      </c>
      <c r="K563" t="n">
        <v>41</v>
      </c>
      <c r="L563" s="5">
        <f>HYPERLINK("https://api.qogita.com/variants/link/3662263220600/", "View Product")</f>
        <v/>
      </c>
    </row>
    <row r="564">
      <c r="A564" t="inlineStr">
        <is>
          <t>3662263221713</t>
        </is>
      </c>
      <c r="B564" t="inlineStr">
        <is>
          <t>Manucurist Active Shine Treatment Icy 15ml</t>
        </is>
      </c>
      <c r="C564" t="inlineStr">
        <is>
          <t>Nail Oil</t>
        </is>
      </c>
      <c r="D564" t="inlineStr">
        <is>
          <t>Manucurist</t>
        </is>
      </c>
      <c r="E564" t="n">
        <v>9.76</v>
      </c>
      <c r="F564" t="n">
        <v>1</v>
      </c>
      <c r="G564" t="n">
        <v>107</v>
      </c>
      <c r="H564" t="inlineStr">
        <is>
          <t>No</t>
        </is>
      </c>
      <c r="I564" t="inlineStr"/>
      <c r="J564" t="n">
        <v>1</v>
      </c>
      <c r="K564" t="n">
        <v>107</v>
      </c>
      <c r="L564" s="5">
        <f>HYPERLINK("https://api.qogita.com/variants/link/3662263221713/", "View Product")</f>
        <v/>
      </c>
    </row>
    <row r="565">
      <c r="A565" t="inlineStr">
        <is>
          <t>3701026100077</t>
        </is>
      </c>
      <c r="B565" t="inlineStr">
        <is>
          <t>Manucurist Active Glow Manicure Set Nail Care Made in France</t>
        </is>
      </c>
      <c r="C565" t="inlineStr">
        <is>
          <t>Nail Care Sets</t>
        </is>
      </c>
      <c r="D565" t="inlineStr">
        <is>
          <t>Manucurist</t>
        </is>
      </c>
      <c r="E565" t="n">
        <v>30.07</v>
      </c>
      <c r="F565" t="n">
        <v>1</v>
      </c>
      <c r="G565" t="n">
        <v>30</v>
      </c>
      <c r="H565" t="inlineStr">
        <is>
          <t>No</t>
        </is>
      </c>
      <c r="I565" t="inlineStr"/>
      <c r="J565" t="n">
        <v>1</v>
      </c>
      <c r="K565" t="n">
        <v>30</v>
      </c>
      <c r="L565" s="5">
        <f>HYPERLINK("https://api.qogita.com/variants/link/3701026100077/", "View Product")</f>
        <v/>
      </c>
    </row>
    <row r="566">
      <c r="A566" t="inlineStr">
        <is>
          <t>5900116097428</t>
        </is>
      </c>
      <c r="B566" t="inlineStr">
        <is>
          <t>More4care Extra Nails Professional Cuticle Remover Gel 10ml</t>
        </is>
      </c>
      <c r="C566" t="inlineStr">
        <is>
          <t>Cuticle Removers</t>
        </is>
      </c>
      <c r="D566" t="inlineStr">
        <is>
          <t>More4care</t>
        </is>
      </c>
      <c r="E566" t="n">
        <v>2.73</v>
      </c>
      <c r="F566" t="n">
        <v>1</v>
      </c>
      <c r="G566" t="n">
        <v>22</v>
      </c>
      <c r="H566" t="inlineStr">
        <is>
          <t>No</t>
        </is>
      </c>
      <c r="I566" t="inlineStr"/>
      <c r="J566" t="n">
        <v>1</v>
      </c>
      <c r="K566" t="n">
        <v>22</v>
      </c>
      <c r="L566" s="5">
        <f>HYPERLINK("https://api.qogita.com/variants/link/5900116097428/", "View Product")</f>
        <v/>
      </c>
    </row>
    <row r="567">
      <c r="A567" t="inlineStr">
        <is>
          <t>5901801612056</t>
        </is>
      </c>
      <c r="B567" t="inlineStr">
        <is>
          <t>Wibo Nail Spa Serum For Nails With Keratin And Honey 8.5ml</t>
        </is>
      </c>
      <c r="C567" t="inlineStr">
        <is>
          <t>Nail Oil</t>
        </is>
      </c>
      <c r="D567" t="inlineStr">
        <is>
          <t>Wibo</t>
        </is>
      </c>
      <c r="E567" t="n">
        <v>1.84</v>
      </c>
      <c r="F567" t="n">
        <v>1</v>
      </c>
      <c r="G567" t="n">
        <v>30</v>
      </c>
      <c r="H567" t="inlineStr">
        <is>
          <t>No</t>
        </is>
      </c>
      <c r="I567" t="inlineStr"/>
      <c r="J567" t="n">
        <v>1</v>
      </c>
      <c r="K567" t="n">
        <v>30</v>
      </c>
      <c r="L567" s="5">
        <f>HYPERLINK("https://api.qogita.com/variants/link/5901801612056/", "View Product")</f>
        <v/>
      </c>
    </row>
    <row r="568">
      <c r="A568" t="inlineStr">
        <is>
          <t>5901810004590</t>
        </is>
      </c>
      <c r="B568" t="inlineStr">
        <is>
          <t>Apis Good Life Oil Regenerating Oil For Cuticles And Nails With Vitamin E 30ml</t>
        </is>
      </c>
      <c r="C568" t="inlineStr">
        <is>
          <t>Nail Oil</t>
        </is>
      </c>
      <c r="D568" t="inlineStr">
        <is>
          <t>Apis</t>
        </is>
      </c>
      <c r="E568" t="n">
        <v>4.67</v>
      </c>
      <c r="F568" t="n">
        <v>1</v>
      </c>
      <c r="G568" t="n">
        <v>6</v>
      </c>
      <c r="H568" t="inlineStr">
        <is>
          <t>No</t>
        </is>
      </c>
      <c r="I568" t="inlineStr"/>
      <c r="J568" t="n">
        <v>1</v>
      </c>
      <c r="K568" t="n">
        <v>6</v>
      </c>
      <c r="L568" s="5">
        <f>HYPERLINK("https://api.qogita.com/variants/link/5901810004590/", "View Product")</f>
        <v/>
      </c>
    </row>
    <row r="569">
      <c r="A569" t="inlineStr">
        <is>
          <t>5902169051648</t>
        </is>
      </c>
      <c r="B569" t="inlineStr">
        <is>
          <t>Bielenda Total Nail Pro-Care Nourishing Serum For Extremely Damaged Nails 5 In 1 - 10ml</t>
        </is>
      </c>
      <c r="C569" t="inlineStr">
        <is>
          <t>Nail Oil</t>
        </is>
      </c>
      <c r="D569" t="inlineStr">
        <is>
          <t>Bielenda</t>
        </is>
      </c>
      <c r="E569" t="n">
        <v>2.09</v>
      </c>
      <c r="F569" t="n">
        <v>1</v>
      </c>
      <c r="G569" t="n">
        <v>16</v>
      </c>
      <c r="H569" t="inlineStr">
        <is>
          <t>No</t>
        </is>
      </c>
      <c r="I569" t="inlineStr"/>
      <c r="J569" t="n">
        <v>1</v>
      </c>
      <c r="K569" t="n">
        <v>16</v>
      </c>
      <c r="L569" s="5">
        <f>HYPERLINK("https://api.qogita.com/variants/link/5902169051648/", "View Product")</f>
        <v/>
      </c>
    </row>
    <row r="570">
      <c r="A570" t="inlineStr">
        <is>
          <t>5902169051655</t>
        </is>
      </c>
      <c r="B570" t="inlineStr">
        <is>
          <t>Bielenda Total Nail Pro-Care Multifunctional Nail Treatment 7 In 1 - 10ml</t>
        </is>
      </c>
      <c r="C570" t="inlineStr">
        <is>
          <t>Nail Oil</t>
        </is>
      </c>
      <c r="D570" t="inlineStr">
        <is>
          <t>Bielenda</t>
        </is>
      </c>
      <c r="E570" t="n">
        <v>2.11</v>
      </c>
      <c r="F570" t="n">
        <v>1</v>
      </c>
      <c r="G570" t="n">
        <v>1</v>
      </c>
      <c r="H570" t="inlineStr">
        <is>
          <t>No</t>
        </is>
      </c>
      <c r="I570" t="inlineStr"/>
      <c r="J570" t="n">
        <v>1</v>
      </c>
      <c r="K570" t="n">
        <v>1</v>
      </c>
      <c r="L570" s="5">
        <f>HYPERLINK("https://api.qogita.com/variants/link/5902169051655/", "View Product")</f>
        <v/>
      </c>
    </row>
    <row r="571">
      <c r="A571" t="inlineStr">
        <is>
          <t>5902232120004</t>
        </is>
      </c>
      <c r="B571" t="inlineStr">
        <is>
          <t>Quin Nail Butter Soft Touch - 12g</t>
        </is>
      </c>
      <c r="C571" t="inlineStr">
        <is>
          <t>Nail Oil</t>
        </is>
      </c>
      <c r="D571" t="inlineStr">
        <is>
          <t>Quin</t>
        </is>
      </c>
      <c r="E571" t="n">
        <v>1.63</v>
      </c>
      <c r="F571" t="n">
        <v>1</v>
      </c>
      <c r="G571" t="n">
        <v>6</v>
      </c>
      <c r="H571" t="inlineStr">
        <is>
          <t>No</t>
        </is>
      </c>
      <c r="I571" t="inlineStr"/>
      <c r="J571" t="n">
        <v>1</v>
      </c>
      <c r="K571" t="n">
        <v>6</v>
      </c>
      <c r="L571" s="5">
        <f>HYPERLINK("https://api.qogita.com/variants/link/5902232120004/", "View Product")</f>
        <v/>
      </c>
    </row>
    <row r="572">
      <c r="A572" t="inlineStr">
        <is>
          <t>5902232127683</t>
        </is>
      </c>
      <c r="B572" t="inlineStr">
        <is>
          <t>Silcare Bio Line Cuticle Oil Vitamin Oil Peach 15ml</t>
        </is>
      </c>
      <c r="C572" t="inlineStr">
        <is>
          <t>Nail Oil</t>
        </is>
      </c>
      <c r="D572" t="inlineStr">
        <is>
          <t>Silcare</t>
        </is>
      </c>
      <c r="E572" t="n">
        <v>1.7</v>
      </c>
      <c r="F572" t="n">
        <v>1</v>
      </c>
      <c r="G572" t="n">
        <v>5</v>
      </c>
      <c r="H572" t="inlineStr">
        <is>
          <t>No</t>
        </is>
      </c>
      <c r="I572" t="inlineStr"/>
      <c r="J572" t="n">
        <v>1</v>
      </c>
      <c r="K572" t="n">
        <v>5</v>
      </c>
      <c r="L572" s="5">
        <f>HYPERLINK("https://api.qogita.com/variants/link/5902232127683/", "View Product")</f>
        <v/>
      </c>
    </row>
    <row r="573">
      <c r="A573" t="inlineStr">
        <is>
          <t>5902232128031</t>
        </is>
      </c>
      <c r="B573" t="inlineStr">
        <is>
          <t>Silcare Block H04 White Buffer 100/100 - Ideal For Nail Care</t>
        </is>
      </c>
      <c r="C573" t="inlineStr">
        <is>
          <t>Nail Care</t>
        </is>
      </c>
      <c r="D573" t="inlineStr">
        <is>
          <t>Silcare</t>
        </is>
      </c>
      <c r="E573" t="n">
        <v>0.86</v>
      </c>
      <c r="F573" t="n">
        <v>1</v>
      </c>
      <c r="G573" t="n">
        <v>7</v>
      </c>
      <c r="H573" t="inlineStr">
        <is>
          <t>No</t>
        </is>
      </c>
      <c r="I573" t="inlineStr"/>
      <c r="J573" t="n">
        <v>1</v>
      </c>
      <c r="K573" t="n">
        <v>7</v>
      </c>
      <c r="L573" s="5">
        <f>HYPERLINK("https://api.qogita.com/variants/link/5902232128031/", "View Product")</f>
        <v/>
      </c>
    </row>
    <row r="574">
      <c r="A574" t="inlineStr">
        <is>
          <t>5902560505085</t>
        </is>
      </c>
      <c r="B574" t="inlineStr">
        <is>
          <t>Silcare The Garden Of Colour Regenerating Cuticle And Nail Oil Peach Nature 75ml</t>
        </is>
      </c>
      <c r="C574" t="inlineStr">
        <is>
          <t>Nail Oil</t>
        </is>
      </c>
      <c r="D574" t="inlineStr">
        <is>
          <t>Silcare</t>
        </is>
      </c>
      <c r="E574" t="n">
        <v>3.1</v>
      </c>
      <c r="F574" t="n">
        <v>1</v>
      </c>
      <c r="G574" t="n">
        <v>2</v>
      </c>
      <c r="H574" t="inlineStr">
        <is>
          <t>No</t>
        </is>
      </c>
      <c r="I574" t="inlineStr"/>
      <c r="J574" t="n">
        <v>1</v>
      </c>
      <c r="K574" t="n">
        <v>2</v>
      </c>
      <c r="L574" s="5">
        <f>HYPERLINK("https://api.qogita.com/variants/link/5902560505085/", "View Product")</f>
        <v/>
      </c>
    </row>
    <row r="575">
      <c r="A575" t="inlineStr">
        <is>
          <t>5902560523591</t>
        </is>
      </c>
      <c r="B575" t="inlineStr">
        <is>
          <t>Silcare Cuticle Oil Flower Power 115ml Nourishing Cuticle Oil</t>
        </is>
      </c>
      <c r="C575" t="inlineStr">
        <is>
          <t>Nail Oil</t>
        </is>
      </c>
      <c r="D575" t="inlineStr">
        <is>
          <t>Silcare</t>
        </is>
      </c>
      <c r="E575" t="n">
        <v>1.37</v>
      </c>
      <c r="F575" t="n">
        <v>1</v>
      </c>
      <c r="G575" t="n">
        <v>4</v>
      </c>
      <c r="H575" t="inlineStr">
        <is>
          <t>No</t>
        </is>
      </c>
      <c r="I575" t="inlineStr"/>
      <c r="J575" t="n">
        <v>1</v>
      </c>
      <c r="K575" t="n">
        <v>4</v>
      </c>
      <c r="L575" s="5">
        <f>HYPERLINK("https://api.qogita.com/variants/link/5902560523591/", "View Product")</f>
        <v/>
      </c>
    </row>
    <row r="576">
      <c r="A576" t="inlineStr">
        <is>
          <t>5902560523638</t>
        </is>
      </c>
      <c r="B576" t="inlineStr">
        <is>
          <t>Silcare The Garden Of Colour Regenerating Cuticle And Nail Oil Flower Power 15ml</t>
        </is>
      </c>
      <c r="C576" t="inlineStr">
        <is>
          <t>Nail Oil</t>
        </is>
      </c>
      <c r="D576" t="inlineStr">
        <is>
          <t>Silcare</t>
        </is>
      </c>
      <c r="E576" t="n">
        <v>1.7</v>
      </c>
      <c r="F576" t="n">
        <v>1</v>
      </c>
      <c r="G576" t="n">
        <v>7</v>
      </c>
      <c r="H576" t="inlineStr">
        <is>
          <t>No</t>
        </is>
      </c>
      <c r="I576" t="inlineStr"/>
      <c r="J576" t="n">
        <v>1</v>
      </c>
      <c r="K576" t="n">
        <v>7</v>
      </c>
      <c r="L576" s="5">
        <f>HYPERLINK("https://api.qogita.com/variants/link/5902560523638/", "View Product")</f>
        <v/>
      </c>
    </row>
    <row r="577">
      <c r="A577" t="inlineStr">
        <is>
          <t>5902560523959</t>
        </is>
      </c>
      <c r="B577" t="inlineStr">
        <is>
          <t>Silcare Quin Dry Oil For Nails - 15ml</t>
        </is>
      </c>
      <c r="C577" t="inlineStr">
        <is>
          <t>Nail Oil</t>
        </is>
      </c>
      <c r="D577" t="inlineStr">
        <is>
          <t>Silcare</t>
        </is>
      </c>
      <c r="E577" t="n">
        <v>1.76</v>
      </c>
      <c r="F577" t="n">
        <v>1</v>
      </c>
      <c r="G577" t="n">
        <v>2</v>
      </c>
      <c r="H577" t="inlineStr">
        <is>
          <t>No</t>
        </is>
      </c>
      <c r="I577" t="inlineStr"/>
      <c r="J577" t="n">
        <v>1</v>
      </c>
      <c r="K577" t="n">
        <v>2</v>
      </c>
      <c r="L577" s="5">
        <f>HYPERLINK("https://api.qogita.com/variants/link/5902560523959/", "View Product")</f>
        <v/>
      </c>
    </row>
    <row r="578">
      <c r="A578" t="inlineStr">
        <is>
          <t>5902560534078</t>
        </is>
      </c>
      <c r="B578" t="inlineStr">
        <is>
          <t>The Garden Of Colour Nail Oil Raspberry Light Pink 75ml</t>
        </is>
      </c>
      <c r="C578" t="inlineStr">
        <is>
          <t>Nail Oil</t>
        </is>
      </c>
      <c r="D578" t="inlineStr">
        <is>
          <t>The Garden Of Colour</t>
        </is>
      </c>
      <c r="E578" t="n">
        <v>2.76</v>
      </c>
      <c r="F578" t="n">
        <v>1</v>
      </c>
      <c r="G578" t="n">
        <v>12</v>
      </c>
      <c r="H578" t="inlineStr">
        <is>
          <t>No</t>
        </is>
      </c>
      <c r="I578" t="inlineStr"/>
      <c r="J578" t="n">
        <v>1</v>
      </c>
      <c r="K578" t="n">
        <v>12</v>
      </c>
      <c r="L578" s="5">
        <f>HYPERLINK("https://api.qogita.com/variants/link/5902560534078/", "View Product")</f>
        <v/>
      </c>
    </row>
    <row r="579">
      <c r="A579" t="inlineStr">
        <is>
          <t>5902560534092</t>
        </is>
      </c>
      <c r="B579" t="inlineStr">
        <is>
          <t>Silcare The Garden Of Colour Regenerating Cuticle And Nail Oil Strawberry Crimson 75ml</t>
        </is>
      </c>
      <c r="C579" t="inlineStr">
        <is>
          <t>Nail Oil</t>
        </is>
      </c>
      <c r="D579" t="inlineStr">
        <is>
          <t>Silcare</t>
        </is>
      </c>
      <c r="E579" t="n">
        <v>2.94</v>
      </c>
      <c r="F579" t="n">
        <v>1</v>
      </c>
      <c r="G579" t="n">
        <v>2</v>
      </c>
      <c r="H579" t="inlineStr">
        <is>
          <t>No</t>
        </is>
      </c>
      <c r="I579" t="inlineStr"/>
      <c r="J579" t="n">
        <v>1</v>
      </c>
      <c r="K579" t="n">
        <v>2</v>
      </c>
      <c r="L579" s="5">
        <f>HYPERLINK("https://api.qogita.com/variants/link/5902560534092/", "View Product")</f>
        <v/>
      </c>
    </row>
    <row r="580">
      <c r="A580" t="inlineStr">
        <is>
          <t>5902560534115</t>
        </is>
      </c>
      <c r="B580" t="inlineStr">
        <is>
          <t>The Garden Of Colour Nail Oil Yummy Gummy Pink 75ml</t>
        </is>
      </c>
      <c r="C580" t="inlineStr">
        <is>
          <t>Nail Oil</t>
        </is>
      </c>
      <c r="D580" t="inlineStr">
        <is>
          <t>The Garden Of Colour</t>
        </is>
      </c>
      <c r="E580" t="n">
        <v>2.5</v>
      </c>
      <c r="F580" t="n">
        <v>1</v>
      </c>
      <c r="G580" t="n">
        <v>4</v>
      </c>
      <c r="H580" t="inlineStr">
        <is>
          <t>No</t>
        </is>
      </c>
      <c r="I580" t="inlineStr"/>
      <c r="J580" t="n">
        <v>1</v>
      </c>
      <c r="K580" t="n">
        <v>4</v>
      </c>
      <c r="L580" s="5">
        <f>HYPERLINK("https://api.qogita.com/variants/link/5902560534115/", "View Product")</f>
        <v/>
      </c>
    </row>
    <row r="581">
      <c r="A581" t="inlineStr">
        <is>
          <t>5902560559095</t>
        </is>
      </c>
      <c r="B581" t="inlineStr">
        <is>
          <t>Silcare Hand Nail Oil Serum 75ml</t>
        </is>
      </c>
      <c r="C581" t="inlineStr">
        <is>
          <t>Nail Oil</t>
        </is>
      </c>
      <c r="D581" t="inlineStr">
        <is>
          <t>Silcare</t>
        </is>
      </c>
      <c r="E581" t="n">
        <v>4.72</v>
      </c>
      <c r="F581" t="n">
        <v>1</v>
      </c>
      <c r="G581" t="n">
        <v>2</v>
      </c>
      <c r="H581" t="inlineStr">
        <is>
          <t>No</t>
        </is>
      </c>
      <c r="I581" t="inlineStr"/>
      <c r="J581" t="n">
        <v>1</v>
      </c>
      <c r="K581" t="n">
        <v>2</v>
      </c>
      <c r="L581" s="5">
        <f>HYPERLINK("https://api.qogita.com/variants/link/5902560559095/", "View Product")</f>
        <v/>
      </c>
    </row>
    <row r="582">
      <c r="A582" t="inlineStr">
        <is>
          <t>5902560564280</t>
        </is>
      </c>
      <c r="B582" t="inlineStr">
        <is>
          <t>Silcare Japanese Manicure Set</t>
        </is>
      </c>
      <c r="C582" t="inlineStr">
        <is>
          <t>Manicure Sets</t>
        </is>
      </c>
      <c r="D582" t="inlineStr">
        <is>
          <t>Silcare</t>
        </is>
      </c>
      <c r="E582" t="n">
        <v>11.7</v>
      </c>
      <c r="F582" t="n">
        <v>1</v>
      </c>
      <c r="G582" t="n">
        <v>3</v>
      </c>
      <c r="H582" t="inlineStr">
        <is>
          <t>No</t>
        </is>
      </c>
      <c r="I582" t="inlineStr"/>
      <c r="J582" t="n">
        <v>1</v>
      </c>
      <c r="K582" t="n">
        <v>3</v>
      </c>
      <c r="L582" s="5">
        <f>HYPERLINK("https://api.qogita.com/variants/link/5902560564280/", "View Product")</f>
        <v/>
      </c>
    </row>
    <row r="583">
      <c r="A583" t="inlineStr">
        <is>
          <t>5902704986015</t>
        </is>
      </c>
      <c r="B583" t="inlineStr">
        <is>
          <t>Inter-Vion Black Leather Manicure Set With Nail Clipper, Cuticle Scissors, Nail File, Tweezers, Scissors, Cuticle Pusher, And Skin Pusher</t>
        </is>
      </c>
      <c r="C583" t="inlineStr">
        <is>
          <t>Manicure Sets</t>
        </is>
      </c>
      <c r="D583" t="inlineStr">
        <is>
          <t>‎Intervion</t>
        </is>
      </c>
      <c r="E583" t="n">
        <v>4.18</v>
      </c>
      <c r="F583" t="n">
        <v>1</v>
      </c>
      <c r="G583" t="n">
        <v>19</v>
      </c>
      <c r="H583" t="inlineStr">
        <is>
          <t>No</t>
        </is>
      </c>
      <c r="I583" t="inlineStr"/>
      <c r="J583" t="n">
        <v>1</v>
      </c>
      <c r="K583" t="n">
        <v>19</v>
      </c>
      <c r="L583" s="5">
        <f>HYPERLINK("https://api.qogita.com/variants/link/5902704986015/", "View Product")</f>
        <v/>
      </c>
    </row>
    <row r="584">
      <c r="A584" t="inlineStr">
        <is>
          <t>5902704988088</t>
        </is>
      </c>
      <c r="B584" t="inlineStr">
        <is>
          <t>Inter-Vion Metal Cuticle Pusher</t>
        </is>
      </c>
      <c r="C584" t="inlineStr">
        <is>
          <t>Cuticle Removers</t>
        </is>
      </c>
      <c r="D584" t="inlineStr">
        <is>
          <t>‎Intervion</t>
        </is>
      </c>
      <c r="E584" t="n">
        <v>1.26</v>
      </c>
      <c r="F584" t="n">
        <v>1</v>
      </c>
      <c r="G584" t="n">
        <v>20</v>
      </c>
      <c r="H584" t="inlineStr">
        <is>
          <t>No</t>
        </is>
      </c>
      <c r="I584" t="inlineStr"/>
      <c r="J584" t="n">
        <v>1</v>
      </c>
      <c r="K584" t="n">
        <v>20</v>
      </c>
      <c r="L584" s="5">
        <f>HYPERLINK("https://api.qogita.com/variants/link/5902704988088/", "View Product")</f>
        <v/>
      </c>
    </row>
    <row r="585">
      <c r="A585" t="inlineStr">
        <is>
          <t>5902704994003</t>
        </is>
      </c>
      <c r="B585" t="inlineStr">
        <is>
          <t>Inter-Vion Double-Sided Glass Nail File 15cm</t>
        </is>
      </c>
      <c r="C585" t="inlineStr">
        <is>
          <t>Nail Care</t>
        </is>
      </c>
      <c r="D585" t="inlineStr">
        <is>
          <t>‎Intervion</t>
        </is>
      </c>
      <c r="E585" t="n">
        <v>1.54</v>
      </c>
      <c r="F585" t="n">
        <v>1</v>
      </c>
      <c r="G585" t="n">
        <v>25</v>
      </c>
      <c r="H585" t="inlineStr">
        <is>
          <t>No</t>
        </is>
      </c>
      <c r="I585" t="inlineStr"/>
      <c r="J585" t="n">
        <v>1</v>
      </c>
      <c r="K585" t="n">
        <v>25</v>
      </c>
      <c r="L585" s="5">
        <f>HYPERLINK("https://api.qogita.com/variants/link/5902704994003/", "View Product")</f>
        <v/>
      </c>
    </row>
    <row r="586">
      <c r="A586" t="inlineStr">
        <is>
          <t>5902729030021</t>
        </is>
      </c>
      <c r="B586" t="inlineStr">
        <is>
          <t>Mokosh Argan Oil for Nail Care 12ml</t>
        </is>
      </c>
      <c r="C586" t="inlineStr">
        <is>
          <t>Nail Oil</t>
        </is>
      </c>
      <c r="D586" t="inlineStr">
        <is>
          <t>Mokosh</t>
        </is>
      </c>
      <c r="E586" t="n">
        <v>3.58</v>
      </c>
      <c r="F586" t="n">
        <v>1</v>
      </c>
      <c r="G586" t="n">
        <v>3</v>
      </c>
      <c r="H586" t="inlineStr">
        <is>
          <t>No</t>
        </is>
      </c>
      <c r="I586" t="inlineStr"/>
      <c r="J586" t="n">
        <v>1</v>
      </c>
      <c r="K586" t="n">
        <v>3</v>
      </c>
      <c r="L586" s="5">
        <f>HYPERLINK("https://api.qogita.com/variants/link/5902729030021/", "View Product")</f>
        <v/>
      </c>
    </row>
    <row r="587">
      <c r="A587" t="inlineStr">
        <is>
          <t>5903416068723</t>
        </is>
      </c>
      <c r="B587" t="inlineStr">
        <is>
          <t>Eveline Nail Cuticle Oil Moisturizing Threephase Oil For Dry Cuticles And Nails 8ml</t>
        </is>
      </c>
      <c r="C587" t="inlineStr">
        <is>
          <t>Nail Oil</t>
        </is>
      </c>
      <c r="D587" t="inlineStr">
        <is>
          <t>Eveline</t>
        </is>
      </c>
      <c r="E587" t="n">
        <v>1.76</v>
      </c>
      <c r="F587" t="n">
        <v>1</v>
      </c>
      <c r="G587" t="n">
        <v>23</v>
      </c>
      <c r="H587" t="inlineStr">
        <is>
          <t>No</t>
        </is>
      </c>
      <c r="I587" t="inlineStr"/>
      <c r="J587" t="n">
        <v>2</v>
      </c>
      <c r="K587" t="n">
        <v>56</v>
      </c>
      <c r="L587" s="5">
        <f>HYPERLINK("https://api.qogita.com/variants/link/5903416068723/", "View Product")</f>
        <v/>
      </c>
    </row>
    <row r="588">
      <c r="A588" t="inlineStr">
        <is>
          <t>5903819804003</t>
        </is>
      </c>
      <c r="B588" t="inlineStr">
        <is>
          <t>Claresa Perfumed Cuticle Oil Sweet Freedom 5ml</t>
        </is>
      </c>
      <c r="C588" t="inlineStr">
        <is>
          <t>Nail Oil</t>
        </is>
      </c>
      <c r="D588" t="inlineStr">
        <is>
          <t>Claresa</t>
        </is>
      </c>
      <c r="E588" t="n">
        <v>1.07</v>
      </c>
      <c r="F588" t="n">
        <v>1</v>
      </c>
      <c r="G588" t="n">
        <v>31</v>
      </c>
      <c r="H588" t="inlineStr">
        <is>
          <t>No</t>
        </is>
      </c>
      <c r="I588" t="inlineStr"/>
      <c r="J588" t="n">
        <v>1</v>
      </c>
      <c r="K588" t="n">
        <v>31</v>
      </c>
      <c r="L588" s="5">
        <f>HYPERLINK("https://api.qogita.com/variants/link/5903819804003/", "View Product")</f>
        <v/>
      </c>
    </row>
    <row r="589">
      <c r="A589" t="inlineStr">
        <is>
          <t>5903819804010</t>
        </is>
      </c>
      <c r="B589" t="inlineStr">
        <is>
          <t>Claresa Perfumed Cuticle Oil Tempting Flowers 5ml</t>
        </is>
      </c>
      <c r="C589" t="inlineStr">
        <is>
          <t>Nail Oil</t>
        </is>
      </c>
      <c r="D589" t="inlineStr">
        <is>
          <t>Claresa</t>
        </is>
      </c>
      <c r="E589" t="n">
        <v>1.07</v>
      </c>
      <c r="F589" t="n">
        <v>1</v>
      </c>
      <c r="G589" t="n">
        <v>21</v>
      </c>
      <c r="H589" t="inlineStr">
        <is>
          <t>No</t>
        </is>
      </c>
      <c r="I589" t="inlineStr"/>
      <c r="J589" t="n">
        <v>1</v>
      </c>
      <c r="K589" t="n">
        <v>21</v>
      </c>
      <c r="L589" s="5">
        <f>HYPERLINK("https://api.qogita.com/variants/link/5903819804010/", "View Product")</f>
        <v/>
      </c>
    </row>
    <row r="590">
      <c r="A590" t="inlineStr">
        <is>
          <t>5903819814385</t>
        </is>
      </c>
      <c r="B590" t="inlineStr">
        <is>
          <t>Claresa Piece Of Fruit Cuticle Oil Strawberry 5g</t>
        </is>
      </c>
      <c r="C590" t="inlineStr">
        <is>
          <t>Nail Oil</t>
        </is>
      </c>
      <c r="D590" t="inlineStr">
        <is>
          <t>Claresa</t>
        </is>
      </c>
      <c r="E590" t="n">
        <v>1.07</v>
      </c>
      <c r="F590" t="n">
        <v>1</v>
      </c>
      <c r="G590" t="n">
        <v>40</v>
      </c>
      <c r="H590" t="inlineStr">
        <is>
          <t>No</t>
        </is>
      </c>
      <c r="I590" t="inlineStr"/>
      <c r="J590" t="n">
        <v>1</v>
      </c>
      <c r="K590" t="n">
        <v>40</v>
      </c>
      <c r="L590" s="5">
        <f>HYPERLINK("https://api.qogita.com/variants/link/5903819814385/", "View Product")</f>
        <v/>
      </c>
    </row>
    <row r="591">
      <c r="A591" t="inlineStr">
        <is>
          <t>5903819814392</t>
        </is>
      </c>
      <c r="B591" t="inlineStr">
        <is>
          <t>Claresa Piece Of Fruit Cuticle Oil Mango 5g</t>
        </is>
      </c>
      <c r="C591" t="inlineStr">
        <is>
          <t>Nail Oil</t>
        </is>
      </c>
      <c r="D591" t="inlineStr">
        <is>
          <t>Claresa</t>
        </is>
      </c>
      <c r="E591" t="n">
        <v>1.08</v>
      </c>
      <c r="F591" t="n">
        <v>1</v>
      </c>
      <c r="G591" t="n">
        <v>10</v>
      </c>
      <c r="H591" t="inlineStr">
        <is>
          <t>No</t>
        </is>
      </c>
      <c r="I591" t="inlineStr"/>
      <c r="J591" t="n">
        <v>1</v>
      </c>
      <c r="K591" t="n">
        <v>10</v>
      </c>
      <c r="L591" s="5">
        <f>HYPERLINK("https://api.qogita.com/variants/link/5903819814392/", "View Product")</f>
        <v/>
      </c>
    </row>
    <row r="592">
      <c r="A592" t="inlineStr">
        <is>
          <t>5903819816686</t>
        </is>
      </c>
      <c r="B592" t="inlineStr">
        <is>
          <t>Claresa Pretty Bloom Cuticle Oil - 5ml</t>
        </is>
      </c>
      <c r="C592" t="inlineStr">
        <is>
          <t>Nail Oil</t>
        </is>
      </c>
      <c r="D592" t="inlineStr">
        <is>
          <t>Claresa</t>
        </is>
      </c>
      <c r="E592" t="n">
        <v>1.07</v>
      </c>
      <c r="F592" t="n">
        <v>1</v>
      </c>
      <c r="G592" t="n">
        <v>1</v>
      </c>
      <c r="H592" t="inlineStr">
        <is>
          <t>No</t>
        </is>
      </c>
      <c r="I592" t="inlineStr"/>
      <c r="J592" t="n">
        <v>1</v>
      </c>
      <c r="K592" t="n">
        <v>1</v>
      </c>
      <c r="L592" s="5">
        <f>HYPERLINK("https://api.qogita.com/variants/link/5903819816686/", "View Product")</f>
        <v/>
      </c>
    </row>
    <row r="593">
      <c r="A593" t="inlineStr">
        <is>
          <t>5903819816716</t>
        </is>
      </c>
      <c r="B593" t="inlineStr">
        <is>
          <t>Claresa Cuticle Remover 5ml</t>
        </is>
      </c>
      <c r="C593" t="inlineStr">
        <is>
          <t>Cuticle Removers</t>
        </is>
      </c>
      <c r="D593" t="inlineStr">
        <is>
          <t>Claresa</t>
        </is>
      </c>
      <c r="E593" t="n">
        <v>1.36</v>
      </c>
      <c r="F593" t="n">
        <v>1</v>
      </c>
      <c r="G593" t="n">
        <v>21</v>
      </c>
      <c r="H593" t="inlineStr">
        <is>
          <t>No</t>
        </is>
      </c>
      <c r="I593" t="inlineStr"/>
      <c r="J593" t="n">
        <v>1</v>
      </c>
      <c r="K593" t="n">
        <v>21</v>
      </c>
      <c r="L593" s="5">
        <f>HYPERLINK("https://api.qogita.com/variants/link/5903819816716/", "View Product")</f>
        <v/>
      </c>
    </row>
    <row r="594">
      <c r="A594" t="inlineStr">
        <is>
          <t>5903900400879</t>
        </is>
      </c>
      <c r="B594" t="inlineStr">
        <is>
          <t>Excellent Pro Nail Tip Cutter Stainless Steel Without Rubber Silver</t>
        </is>
      </c>
      <c r="C594" t="inlineStr">
        <is>
          <t>Nail Clippers &amp; Tools</t>
        </is>
      </c>
      <c r="D594" t="inlineStr">
        <is>
          <t>Excellent Pro</t>
        </is>
      </c>
      <c r="E594" t="n">
        <v>0.82</v>
      </c>
      <c r="F594" t="n">
        <v>1</v>
      </c>
      <c r="G594" t="n">
        <v>33</v>
      </c>
      <c r="H594" t="inlineStr">
        <is>
          <t>No</t>
        </is>
      </c>
      <c r="I594" t="inlineStr"/>
      <c r="J594" t="n">
        <v>2</v>
      </c>
      <c r="K594" t="n">
        <v>40</v>
      </c>
      <c r="L594" s="5">
        <f>HYPERLINK("https://api.qogita.com/variants/link/5903900400879/", "View Product")</f>
        <v/>
      </c>
    </row>
    <row r="595">
      <c r="A595" t="inlineStr">
        <is>
          <t>5903900427050</t>
        </is>
      </c>
      <c r="B595" t="inlineStr">
        <is>
          <t>Excellent Pro Eco Zebra Nail File Boat Nf21 100100</t>
        </is>
      </c>
      <c r="C595" t="inlineStr">
        <is>
          <t>Nail Care</t>
        </is>
      </c>
      <c r="D595" t="inlineStr">
        <is>
          <t>Excellent Pro</t>
        </is>
      </c>
      <c r="E595" t="n">
        <v>0.8100000000000001</v>
      </c>
      <c r="F595" t="n">
        <v>1</v>
      </c>
      <c r="G595" t="n">
        <v>43</v>
      </c>
      <c r="H595" t="inlineStr">
        <is>
          <t>No</t>
        </is>
      </c>
      <c r="I595" t="inlineStr"/>
      <c r="J595" t="n">
        <v>1</v>
      </c>
      <c r="K595" t="n">
        <v>43</v>
      </c>
      <c r="L595" s="5">
        <f>HYPERLINK("https://api.qogita.com/variants/link/5903900427050/", "View Product")</f>
        <v/>
      </c>
    </row>
    <row r="596">
      <c r="A596" t="inlineStr">
        <is>
          <t>5903900427067</t>
        </is>
      </c>
      <c r="B596" t="inlineStr">
        <is>
          <t>Excellent Pro Eco Zebra Nail File Boat Nf21 100180</t>
        </is>
      </c>
      <c r="C596" t="inlineStr">
        <is>
          <t>Nail Care</t>
        </is>
      </c>
      <c r="D596" t="inlineStr">
        <is>
          <t>Excellent Pro</t>
        </is>
      </c>
      <c r="E596" t="n">
        <v>0.67</v>
      </c>
      <c r="F596" t="n">
        <v>1</v>
      </c>
      <c r="G596" t="n">
        <v>47</v>
      </c>
      <c r="H596" t="inlineStr">
        <is>
          <t>No</t>
        </is>
      </c>
      <c r="I596" t="inlineStr"/>
      <c r="J596" t="n">
        <v>1</v>
      </c>
      <c r="K596" t="n">
        <v>47</v>
      </c>
      <c r="L596" s="5">
        <f>HYPERLINK("https://api.qogita.com/variants/link/5903900427067/", "View Product")</f>
        <v/>
      </c>
    </row>
    <row r="597">
      <c r="A597" t="inlineStr">
        <is>
          <t>5903900427074</t>
        </is>
      </c>
      <c r="B597" t="inlineStr">
        <is>
          <t>Excellent Pro Eco Zebra Nail File Boat Nf21 180240</t>
        </is>
      </c>
      <c r="C597" t="inlineStr">
        <is>
          <t>Nail Care</t>
        </is>
      </c>
      <c r="D597" t="inlineStr">
        <is>
          <t>Excellent Pro</t>
        </is>
      </c>
      <c r="E597" t="n">
        <v>0.82</v>
      </c>
      <c r="F597" t="n">
        <v>1</v>
      </c>
      <c r="G597" t="n">
        <v>32</v>
      </c>
      <c r="H597" t="inlineStr">
        <is>
          <t>No</t>
        </is>
      </c>
      <c r="I597" t="inlineStr"/>
      <c r="J597" t="n">
        <v>1</v>
      </c>
      <c r="K597" t="n">
        <v>32</v>
      </c>
      <c r="L597" s="5">
        <f>HYPERLINK("https://api.qogita.com/variants/link/5903900427074/", "View Product")</f>
        <v/>
      </c>
    </row>
    <row r="598">
      <c r="A598" t="inlineStr">
        <is>
          <t>5903900427098</t>
        </is>
      </c>
      <c r="B598" t="inlineStr">
        <is>
          <t>Excellent Pro Eco Zebra Nail File Straight Nf33 100180</t>
        </is>
      </c>
      <c r="C598" t="inlineStr">
        <is>
          <t>Nail Care</t>
        </is>
      </c>
      <c r="D598" t="inlineStr">
        <is>
          <t>Excellent Pro</t>
        </is>
      </c>
      <c r="E598" t="n">
        <v>0.66</v>
      </c>
      <c r="F598" t="n">
        <v>1</v>
      </c>
      <c r="G598" t="n">
        <v>1</v>
      </c>
      <c r="H598" t="inlineStr">
        <is>
          <t>No</t>
        </is>
      </c>
      <c r="I598" t="inlineStr"/>
      <c r="J598" t="n">
        <v>1</v>
      </c>
      <c r="K598" t="n">
        <v>1</v>
      </c>
      <c r="L598" s="5">
        <f>HYPERLINK("https://api.qogita.com/variants/link/5903900427098/", "View Product")</f>
        <v/>
      </c>
    </row>
    <row r="599">
      <c r="A599" t="inlineStr">
        <is>
          <t>5903900427159</t>
        </is>
      </c>
      <c r="B599" t="inlineStr">
        <is>
          <t>Excellent Pro Premium Zebra Banana Nail File Nf30 180240</t>
        </is>
      </c>
      <c r="C599" t="inlineStr">
        <is>
          <t>Nail Care</t>
        </is>
      </c>
      <c r="D599" t="inlineStr">
        <is>
          <t>Excellent Pro</t>
        </is>
      </c>
      <c r="E599" t="n">
        <v>0.64</v>
      </c>
      <c r="F599" t="n">
        <v>1</v>
      </c>
      <c r="G599" t="n">
        <v>35</v>
      </c>
      <c r="H599" t="inlineStr">
        <is>
          <t>No</t>
        </is>
      </c>
      <c r="I599" t="inlineStr"/>
      <c r="J599" t="n">
        <v>1</v>
      </c>
      <c r="K599" t="n">
        <v>35</v>
      </c>
      <c r="L599" s="5">
        <f>HYPERLINK("https://api.qogita.com/variants/link/5903900427159/", "View Product")</f>
        <v/>
      </c>
    </row>
    <row r="600">
      <c r="A600" t="inlineStr">
        <is>
          <t>5903900427203</t>
        </is>
      </c>
      <c r="B600" t="inlineStr">
        <is>
          <t>Excellent Pro Premium Zebra Nail File Boat Nf21 8080</t>
        </is>
      </c>
      <c r="C600" t="inlineStr">
        <is>
          <t>Nail Clippers &amp; Tools</t>
        </is>
      </c>
      <c r="D600" t="inlineStr">
        <is>
          <t>Excellent Pro</t>
        </is>
      </c>
      <c r="E600" t="n">
        <v>0.9</v>
      </c>
      <c r="F600" t="n">
        <v>1</v>
      </c>
      <c r="G600" t="n">
        <v>38</v>
      </c>
      <c r="H600" t="inlineStr">
        <is>
          <t>No</t>
        </is>
      </c>
      <c r="I600" t="inlineStr"/>
      <c r="J600" t="n">
        <v>1</v>
      </c>
      <c r="K600" t="n">
        <v>38</v>
      </c>
      <c r="L600" s="5">
        <f>HYPERLINK("https://api.qogita.com/variants/link/5903900427203/", "View Product")</f>
        <v/>
      </c>
    </row>
    <row r="601">
      <c r="A601" t="inlineStr">
        <is>
          <t>5903900427265</t>
        </is>
      </c>
      <c r="B601" t="inlineStr">
        <is>
          <t>Excellent Pro Premium Zebra Nail File Straight NF33 180/240</t>
        </is>
      </c>
      <c r="C601" t="inlineStr">
        <is>
          <t>Nail Care</t>
        </is>
      </c>
      <c r="D601" t="inlineStr">
        <is>
          <t>Excellent Pro</t>
        </is>
      </c>
      <c r="E601" t="n">
        <v>0.64</v>
      </c>
      <c r="F601" t="n">
        <v>1</v>
      </c>
      <c r="G601" t="n">
        <v>50</v>
      </c>
      <c r="H601" t="inlineStr">
        <is>
          <t>No</t>
        </is>
      </c>
      <c r="I601" t="inlineStr"/>
      <c r="J601" t="n">
        <v>1</v>
      </c>
      <c r="K601" t="n">
        <v>50</v>
      </c>
      <c r="L601" s="5">
        <f>HYPERLINK("https://api.qogita.com/variants/link/5903900427265/", "View Product")</f>
        <v/>
      </c>
    </row>
    <row r="602">
      <c r="A602" t="inlineStr">
        <is>
          <t>5903900429030</t>
        </is>
      </c>
      <c r="B602" t="inlineStr">
        <is>
          <t>Excellent Pro Cleaner Nail Plate Degreaser And Cleaner 1000ml</t>
        </is>
      </c>
      <c r="C602" t="inlineStr">
        <is>
          <t>Cuticle Removers</t>
        </is>
      </c>
      <c r="D602" t="inlineStr">
        <is>
          <t>Excellent Pro</t>
        </is>
      </c>
      <c r="E602" t="n">
        <v>4.34</v>
      </c>
      <c r="F602" t="n">
        <v>1</v>
      </c>
      <c r="G602" t="n">
        <v>10</v>
      </c>
      <c r="H602" t="inlineStr">
        <is>
          <t>No</t>
        </is>
      </c>
      <c r="I602" t="inlineStr"/>
      <c r="J602" t="n">
        <v>2</v>
      </c>
      <c r="K602" t="n">
        <v>103</v>
      </c>
      <c r="L602" s="5">
        <f>HYPERLINK("https://api.qogita.com/variants/link/5903900429030/", "View Product")</f>
        <v/>
      </c>
    </row>
    <row r="603">
      <c r="A603" t="inlineStr">
        <is>
          <t>5903900437042</t>
        </is>
      </c>
      <c r="B603" t="inlineStr">
        <is>
          <t>Excellent Pro Cuticle Oil Natural 10ml Nourishing Cuticle And Nail Oil</t>
        </is>
      </c>
      <c r="C603" t="inlineStr">
        <is>
          <t>Nail Oil</t>
        </is>
      </c>
      <c r="D603" t="inlineStr">
        <is>
          <t>Excellent Pro</t>
        </is>
      </c>
      <c r="E603" t="n">
        <v>1.02</v>
      </c>
      <c r="F603" t="n">
        <v>1</v>
      </c>
      <c r="G603" t="n">
        <v>40</v>
      </c>
      <c r="H603" t="inlineStr">
        <is>
          <t>No</t>
        </is>
      </c>
      <c r="I603" t="inlineStr"/>
      <c r="J603" t="n">
        <v>2</v>
      </c>
      <c r="K603" t="n">
        <v>45</v>
      </c>
      <c r="L603" s="5">
        <f>HYPERLINK("https://api.qogita.com/variants/link/5903900437042/", "View Product")</f>
        <v/>
      </c>
    </row>
    <row r="604">
      <c r="A604" t="inlineStr">
        <is>
          <t>5903900437059</t>
        </is>
      </c>
      <c r="B604" t="inlineStr">
        <is>
          <t>Excellent Pro Cuticle Oil Coconut 10ml Nourishing Cuticle Oil For Healthy Nails</t>
        </is>
      </c>
      <c r="C604" t="inlineStr">
        <is>
          <t>Nail Oil</t>
        </is>
      </c>
      <c r="D604" t="inlineStr">
        <is>
          <t>Excellent Pro</t>
        </is>
      </c>
      <c r="E604" t="n">
        <v>1.34</v>
      </c>
      <c r="F604" t="n">
        <v>1</v>
      </c>
      <c r="G604" t="n">
        <v>4</v>
      </c>
      <c r="H604" t="inlineStr">
        <is>
          <t>No</t>
        </is>
      </c>
      <c r="I604" t="inlineStr"/>
      <c r="J604" t="n">
        <v>1</v>
      </c>
      <c r="K604" t="n">
        <v>4</v>
      </c>
      <c r="L604" s="5">
        <f>HYPERLINK("https://api.qogita.com/variants/link/5903900437059/", "View Product")</f>
        <v/>
      </c>
    </row>
    <row r="605">
      <c r="A605" t="inlineStr">
        <is>
          <t>5903900437073</t>
        </is>
      </c>
      <c r="B605" t="inlineStr">
        <is>
          <t>Excellent Pro Cuticle Oil Bubble Gum 10ml Nourishing Cuticle Oil For Nails</t>
        </is>
      </c>
      <c r="C605" t="inlineStr">
        <is>
          <t>Nail Oil</t>
        </is>
      </c>
      <c r="D605" t="inlineStr">
        <is>
          <t>Excellent Pro</t>
        </is>
      </c>
      <c r="E605" t="n">
        <v>1.02</v>
      </c>
      <c r="F605" t="n">
        <v>1</v>
      </c>
      <c r="G605" t="n">
        <v>124</v>
      </c>
      <c r="H605" t="inlineStr">
        <is>
          <t>No</t>
        </is>
      </c>
      <c r="I605" t="inlineStr"/>
      <c r="J605" t="n">
        <v>2</v>
      </c>
      <c r="K605" t="n">
        <v>132</v>
      </c>
      <c r="L605" s="5">
        <f>HYPERLINK("https://api.qogita.com/variants/link/5903900437073/", "View Product")</f>
        <v/>
      </c>
    </row>
    <row r="606">
      <c r="A606" t="inlineStr">
        <is>
          <t>5903900437080</t>
        </is>
      </c>
      <c r="B606" t="inlineStr">
        <is>
          <t>Kiwi Cuticle Oil 10ml</t>
        </is>
      </c>
      <c r="C606" t="inlineStr">
        <is>
          <t>Nail Oil</t>
        </is>
      </c>
      <c r="D606" t="inlineStr">
        <is>
          <t>Kiwi</t>
        </is>
      </c>
      <c r="E606" t="n">
        <v>1.34</v>
      </c>
      <c r="F606" t="n">
        <v>1</v>
      </c>
      <c r="G606" t="n">
        <v>14</v>
      </c>
      <c r="H606" t="inlineStr">
        <is>
          <t>No</t>
        </is>
      </c>
      <c r="I606" t="inlineStr"/>
      <c r="J606" t="n">
        <v>1</v>
      </c>
      <c r="K606" t="n">
        <v>14</v>
      </c>
      <c r="L606" s="5">
        <f>HYPERLINK("https://api.qogita.com/variants/link/5903900437080/", "View Product")</f>
        <v/>
      </c>
    </row>
    <row r="607">
      <c r="A607" t="inlineStr">
        <is>
          <t>5903900437097</t>
        </is>
      </c>
      <c r="B607" t="inlineStr">
        <is>
          <t>Excellent Pro Cuticle Oil Mango 10ml</t>
        </is>
      </c>
      <c r="C607" t="inlineStr">
        <is>
          <t>Nail Oil</t>
        </is>
      </c>
      <c r="D607" t="inlineStr">
        <is>
          <t>Excellent Pro</t>
        </is>
      </c>
      <c r="E607" t="n">
        <v>1.08</v>
      </c>
      <c r="F607" t="n">
        <v>1</v>
      </c>
      <c r="G607" t="n">
        <v>101</v>
      </c>
      <c r="H607" t="inlineStr">
        <is>
          <t>No</t>
        </is>
      </c>
      <c r="I607" t="inlineStr"/>
      <c r="J607" t="n">
        <v>2</v>
      </c>
      <c r="K607" t="n">
        <v>121</v>
      </c>
      <c r="L607" s="5">
        <f>HYPERLINK("https://api.qogita.com/variants/link/5903900437097/", "View Product")</f>
        <v/>
      </c>
    </row>
    <row r="608">
      <c r="A608" t="inlineStr">
        <is>
          <t>5903900437707</t>
        </is>
      </c>
      <c r="B608" t="inlineStr">
        <is>
          <t>Excellent Pro Premium Zebra Nail File Boat Nf21 150180</t>
        </is>
      </c>
      <c r="C608" t="inlineStr">
        <is>
          <t>Nail Care</t>
        </is>
      </c>
      <c r="D608" t="inlineStr">
        <is>
          <t>Excellent Pro</t>
        </is>
      </c>
      <c r="E608" t="n">
        <v>0.86</v>
      </c>
      <c r="F608" t="n">
        <v>1</v>
      </c>
      <c r="G608" t="n">
        <v>25</v>
      </c>
      <c r="H608" t="inlineStr">
        <is>
          <t>No</t>
        </is>
      </c>
      <c r="I608" t="inlineStr"/>
      <c r="J608" t="n">
        <v>1</v>
      </c>
      <c r="K608" t="n">
        <v>25</v>
      </c>
      <c r="L608" s="5">
        <f>HYPERLINK("https://api.qogita.com/variants/link/5903900437707/", "View Product")</f>
        <v/>
      </c>
    </row>
    <row r="609">
      <c r="A609" t="inlineStr">
        <is>
          <t>5903900440400</t>
        </is>
      </c>
      <c r="B609" t="inlineStr">
        <is>
          <t>Excellent Pro Cuticle Oil Natural 35ml Nourishing Cuticle And Nail Oil</t>
        </is>
      </c>
      <c r="C609" t="inlineStr">
        <is>
          <t>Nail Oil</t>
        </is>
      </c>
      <c r="D609" t="inlineStr">
        <is>
          <t>Excellent Pro</t>
        </is>
      </c>
      <c r="E609" t="n">
        <v>3.97</v>
      </c>
      <c r="F609" t="n">
        <v>1</v>
      </c>
      <c r="G609" t="n">
        <v>8</v>
      </c>
      <c r="H609" t="inlineStr">
        <is>
          <t>No</t>
        </is>
      </c>
      <c r="I609" t="inlineStr"/>
      <c r="J609" t="n">
        <v>1</v>
      </c>
      <c r="K609" t="n">
        <v>8</v>
      </c>
      <c r="L609" s="5">
        <f>HYPERLINK("https://api.qogita.com/variants/link/5903900440400/", "View Product")</f>
        <v/>
      </c>
    </row>
    <row r="610">
      <c r="A610" t="inlineStr">
        <is>
          <t>5903900440417</t>
        </is>
      </c>
      <c r="B610" t="inlineStr">
        <is>
          <t>Excellent Pro Cuticle Oil Mango 35ml Nourishing Cuticle Oil For Nails</t>
        </is>
      </c>
      <c r="C610" t="inlineStr">
        <is>
          <t>Nail Oil</t>
        </is>
      </c>
      <c r="D610" t="inlineStr">
        <is>
          <t>Excellent Pro</t>
        </is>
      </c>
      <c r="E610" t="n">
        <v>2.82</v>
      </c>
      <c r="F610" t="n">
        <v>1</v>
      </c>
      <c r="G610" t="n">
        <v>17</v>
      </c>
      <c r="H610" t="inlineStr">
        <is>
          <t>No</t>
        </is>
      </c>
      <c r="I610" t="inlineStr"/>
      <c r="J610" t="n">
        <v>1</v>
      </c>
      <c r="K610" t="n">
        <v>17</v>
      </c>
      <c r="L610" s="5">
        <f>HYPERLINK("https://api.qogita.com/variants/link/5903900440417/", "View Product")</f>
        <v/>
      </c>
    </row>
    <row r="611">
      <c r="A611" t="inlineStr">
        <is>
          <t>5903900440424</t>
        </is>
      </c>
      <c r="B611" t="inlineStr">
        <is>
          <t>Kiwi Cuticle Oil 35ml</t>
        </is>
      </c>
      <c r="C611" t="inlineStr">
        <is>
          <t>Nail Oil</t>
        </is>
      </c>
      <c r="D611" t="inlineStr">
        <is>
          <t>Kiwi</t>
        </is>
      </c>
      <c r="E611" t="n">
        <v>2.82</v>
      </c>
      <c r="F611" t="n">
        <v>1</v>
      </c>
      <c r="G611" t="n">
        <v>7</v>
      </c>
      <c r="H611" t="inlineStr">
        <is>
          <t>No</t>
        </is>
      </c>
      <c r="I611" t="inlineStr"/>
      <c r="J611" t="n">
        <v>1</v>
      </c>
      <c r="K611" t="n">
        <v>7</v>
      </c>
      <c r="L611" s="5">
        <f>HYPERLINK("https://api.qogita.com/variants/link/5903900440424/", "View Product")</f>
        <v/>
      </c>
    </row>
    <row r="612">
      <c r="A612" t="inlineStr">
        <is>
          <t>5903900440431</t>
        </is>
      </c>
      <c r="B612" t="inlineStr">
        <is>
          <t>Excellent Pro Cuticle Oil Coconut 35ml</t>
        </is>
      </c>
      <c r="C612" t="inlineStr">
        <is>
          <t>Nail Oil</t>
        </is>
      </c>
      <c r="D612" t="inlineStr">
        <is>
          <t>Excellent Pro</t>
        </is>
      </c>
      <c r="E612" t="n">
        <v>2.82</v>
      </c>
      <c r="F612" t="n">
        <v>1</v>
      </c>
      <c r="G612" t="n">
        <v>8</v>
      </c>
      <c r="H612" t="inlineStr">
        <is>
          <t>No</t>
        </is>
      </c>
      <c r="I612" t="inlineStr"/>
      <c r="J612" t="n">
        <v>1</v>
      </c>
      <c r="K612" t="n">
        <v>8</v>
      </c>
      <c r="L612" s="5">
        <f>HYPERLINK("https://api.qogita.com/variants/link/5903900440431/", "View Product")</f>
        <v/>
      </c>
    </row>
    <row r="613">
      <c r="A613" t="inlineStr">
        <is>
          <t>5903900440479</t>
        </is>
      </c>
      <c r="B613" t="inlineStr">
        <is>
          <t>Excellent Pro Cuticle Oil For Cuticles And Nails Banana 35ml</t>
        </is>
      </c>
      <c r="C613" t="inlineStr">
        <is>
          <t>Nail Oil</t>
        </is>
      </c>
      <c r="D613" t="inlineStr">
        <is>
          <t>Excellent Pro</t>
        </is>
      </c>
      <c r="E613" t="n">
        <v>2.82</v>
      </c>
      <c r="F613" t="n">
        <v>1</v>
      </c>
      <c r="G613" t="n">
        <v>9</v>
      </c>
      <c r="H613" t="inlineStr">
        <is>
          <t>No</t>
        </is>
      </c>
      <c r="I613" t="inlineStr"/>
      <c r="J613" t="n">
        <v>1</v>
      </c>
      <c r="K613" t="n">
        <v>9</v>
      </c>
      <c r="L613" s="5">
        <f>HYPERLINK("https://api.qogita.com/variants/link/5903900440479/", "View Product")</f>
        <v/>
      </c>
    </row>
    <row r="614">
      <c r="A614" t="inlineStr">
        <is>
          <t>5903900444545</t>
        </is>
      </c>
      <c r="B614" t="inlineStr">
        <is>
          <t>Excellent Pro Cuticle Oil Raspberry 35ml Nourishing Cuticle Oil For Nails</t>
        </is>
      </c>
      <c r="C614" t="inlineStr">
        <is>
          <t>Nail Oil</t>
        </is>
      </c>
      <c r="D614" t="inlineStr">
        <is>
          <t>Excellent Pro</t>
        </is>
      </c>
      <c r="E614" t="n">
        <v>2.82</v>
      </c>
      <c r="F614" t="n">
        <v>1</v>
      </c>
      <c r="G614" t="n">
        <v>6</v>
      </c>
      <c r="H614" t="inlineStr">
        <is>
          <t>No</t>
        </is>
      </c>
      <c r="I614" t="inlineStr"/>
      <c r="J614" t="n">
        <v>1</v>
      </c>
      <c r="K614" t="n">
        <v>6</v>
      </c>
      <c r="L614" s="5">
        <f>HYPERLINK("https://api.qogita.com/variants/link/5903900444545/", "View Product")</f>
        <v/>
      </c>
    </row>
    <row r="615">
      <c r="A615" t="inlineStr">
        <is>
          <t>5903900444552</t>
        </is>
      </c>
      <c r="B615" t="inlineStr">
        <is>
          <t>Excellent Pro Cuticle Oil Vanilla 35ml</t>
        </is>
      </c>
      <c r="C615" t="inlineStr">
        <is>
          <t>Nail Oil</t>
        </is>
      </c>
      <c r="D615" t="inlineStr">
        <is>
          <t>Excellent Pro</t>
        </is>
      </c>
      <c r="E615" t="n">
        <v>2.82</v>
      </c>
      <c r="F615" t="n">
        <v>1</v>
      </c>
      <c r="G615" t="n">
        <v>8</v>
      </c>
      <c r="H615" t="inlineStr">
        <is>
          <t>No</t>
        </is>
      </c>
      <c r="I615" t="inlineStr"/>
      <c r="J615" t="n">
        <v>1</v>
      </c>
      <c r="K615" t="n">
        <v>8</v>
      </c>
      <c r="L615" s="5">
        <f>HYPERLINK("https://api.qogita.com/variants/link/5903900444552/", "View Product")</f>
        <v/>
      </c>
    </row>
    <row r="616">
      <c r="A616" t="inlineStr">
        <is>
          <t>5903900444569</t>
        </is>
      </c>
      <c r="B616" t="inlineStr">
        <is>
          <t>Excellent Pro Cuticle Oil Vanilla 10ml Nourishing Cuticle Oil For Nails</t>
        </is>
      </c>
      <c r="C616" t="inlineStr">
        <is>
          <t>Nail Oil</t>
        </is>
      </c>
      <c r="D616" t="inlineStr">
        <is>
          <t>Excellent Pro</t>
        </is>
      </c>
      <c r="E616" t="n">
        <v>1.41</v>
      </c>
      <c r="F616" t="n">
        <v>1</v>
      </c>
      <c r="G616" t="n">
        <v>8</v>
      </c>
      <c r="H616" t="inlineStr">
        <is>
          <t>No</t>
        </is>
      </c>
      <c r="I616" t="inlineStr"/>
      <c r="J616" t="n">
        <v>1</v>
      </c>
      <c r="K616" t="n">
        <v>8</v>
      </c>
      <c r="L616" s="5">
        <f>HYPERLINK("https://api.qogita.com/variants/link/5903900444569/", "View Product")</f>
        <v/>
      </c>
    </row>
    <row r="617">
      <c r="A617" t="inlineStr">
        <is>
          <t>5904378551292</t>
        </is>
      </c>
      <c r="B617" t="inlineStr">
        <is>
          <t>Belle Elegance Cute Icle Cuticle Oil 12ml</t>
        </is>
      </c>
      <c r="C617" t="inlineStr">
        <is>
          <t>Nail Oil</t>
        </is>
      </c>
      <c r="D617" t="inlineStr">
        <is>
          <t>Belle Époque</t>
        </is>
      </c>
      <c r="E617" t="n">
        <v>2.02</v>
      </c>
      <c r="F617" t="n">
        <v>1</v>
      </c>
      <c r="G617" t="n">
        <v>7</v>
      </c>
      <c r="H617" t="inlineStr">
        <is>
          <t>No</t>
        </is>
      </c>
      <c r="I617" t="inlineStr"/>
      <c r="J617" t="n">
        <v>1</v>
      </c>
      <c r="K617" t="n">
        <v>7</v>
      </c>
      <c r="L617" s="5">
        <f>HYPERLINK("https://api.qogita.com/variants/link/5904378551292/", "View Product")</f>
        <v/>
      </c>
    </row>
    <row r="618">
      <c r="A618" t="inlineStr">
        <is>
          <t>5904378551308</t>
        </is>
      </c>
      <c r="B618" t="inlineStr">
        <is>
          <t>Ciao! Cute Cuticle Softener 12ml</t>
        </is>
      </c>
      <c r="C618" t="inlineStr">
        <is>
          <t>Cuticle Removers</t>
        </is>
      </c>
      <c r="D618" t="inlineStr">
        <is>
          <t>Ciao Cutie</t>
        </is>
      </c>
      <c r="E618" t="n">
        <v>2.02</v>
      </c>
      <c r="F618" t="n">
        <v>1</v>
      </c>
      <c r="G618" t="n">
        <v>6</v>
      </c>
      <c r="H618" t="inlineStr">
        <is>
          <t>No</t>
        </is>
      </c>
      <c r="I618" t="inlineStr"/>
      <c r="J618" t="n">
        <v>1</v>
      </c>
      <c r="K618" t="n">
        <v>6</v>
      </c>
      <c r="L618" s="5">
        <f>HYPERLINK("https://api.qogita.com/variants/link/5904378551308/", "View Product")</f>
        <v/>
      </c>
    </row>
    <row r="619">
      <c r="A619" t="inlineStr">
        <is>
          <t>5904378551315</t>
        </is>
      </c>
      <c r="B619" t="inlineStr">
        <is>
          <t>Cute Icle Sweet Charm Cuticle Oil 12ml</t>
        </is>
      </c>
      <c r="C619" t="inlineStr">
        <is>
          <t>Nail Oil</t>
        </is>
      </c>
      <c r="D619" t="inlineStr">
        <is>
          <t>Cúticle</t>
        </is>
      </c>
      <c r="E619" t="n">
        <v>2.13</v>
      </c>
      <c r="F619" t="n">
        <v>1</v>
      </c>
      <c r="G619" t="n">
        <v>5</v>
      </c>
      <c r="H619" t="inlineStr">
        <is>
          <t>No</t>
        </is>
      </c>
      <c r="I619" t="inlineStr"/>
      <c r="J619" t="n">
        <v>1</v>
      </c>
      <c r="K619" t="n">
        <v>5</v>
      </c>
      <c r="L619" s="5">
        <f>HYPERLINK("https://api.qogita.com/variants/link/5904378551315/", "View Product")</f>
        <v/>
      </c>
    </row>
    <row r="620">
      <c r="A620" t="inlineStr">
        <is>
          <t>5905309920309</t>
        </is>
      </c>
      <c r="B620" t="inlineStr">
        <is>
          <t>Wibo Mission Repair Nail and Cuticle Serum 9ml</t>
        </is>
      </c>
      <c r="C620" t="inlineStr">
        <is>
          <t>Nail Oil</t>
        </is>
      </c>
      <c r="D620" t="inlineStr">
        <is>
          <t>Wibo</t>
        </is>
      </c>
      <c r="E620" t="n">
        <v>3.08</v>
      </c>
      <c r="F620" t="n">
        <v>1</v>
      </c>
      <c r="G620" t="n">
        <v>5</v>
      </c>
      <c r="H620" t="inlineStr">
        <is>
          <t>No</t>
        </is>
      </c>
      <c r="I620" t="inlineStr"/>
      <c r="J620" t="n">
        <v>1</v>
      </c>
      <c r="K620" t="n">
        <v>5</v>
      </c>
      <c r="L620" s="5">
        <f>HYPERLINK("https://api.qogita.com/variants/link/5905309920309/", "View Product")</f>
        <v/>
      </c>
    </row>
    <row r="621">
      <c r="A621" t="inlineStr">
        <is>
          <t>5906720560334</t>
        </is>
      </c>
      <c r="B621" t="inlineStr">
        <is>
          <t>Silcare The Garden Of Colour Regenerating Cuticle And Nail Oil Strawberry Crimson 15ml</t>
        </is>
      </c>
      <c r="C621" t="inlineStr">
        <is>
          <t>Nail Oil</t>
        </is>
      </c>
      <c r="D621" t="inlineStr">
        <is>
          <t>Silcare</t>
        </is>
      </c>
      <c r="E621" t="n">
        <v>1.32</v>
      </c>
      <c r="F621" t="n">
        <v>1</v>
      </c>
      <c r="G621" t="n">
        <v>2</v>
      </c>
      <c r="H621" t="inlineStr">
        <is>
          <t>No</t>
        </is>
      </c>
      <c r="I621" t="inlineStr"/>
      <c r="J621" t="n">
        <v>2</v>
      </c>
      <c r="K621" t="n">
        <v>5</v>
      </c>
      <c r="L621" s="5">
        <f>HYPERLINK("https://api.qogita.com/variants/link/5906720560334/", "View Product")</f>
        <v/>
      </c>
    </row>
    <row r="622">
      <c r="A622" t="inlineStr">
        <is>
          <t>5907440748675</t>
        </is>
      </c>
      <c r="B622" t="inlineStr">
        <is>
          <t>Coolnails Steel Nail File Pink Essential Nail Care Tool</t>
        </is>
      </c>
      <c r="C622" t="inlineStr">
        <is>
          <t>Nail Clippers &amp; Tools</t>
        </is>
      </c>
      <c r="D622" t="inlineStr">
        <is>
          <t>CoolNails</t>
        </is>
      </c>
      <c r="E622" t="n">
        <v>3.4</v>
      </c>
      <c r="F622" t="n">
        <v>1</v>
      </c>
      <c r="G622" t="n">
        <v>8</v>
      </c>
      <c r="H622" t="inlineStr">
        <is>
          <t>No</t>
        </is>
      </c>
      <c r="I622" t="inlineStr"/>
      <c r="J622" t="n">
        <v>1</v>
      </c>
      <c r="K622" t="n">
        <v>8</v>
      </c>
      <c r="L622" s="5">
        <f>HYPERLINK("https://api.qogita.com/variants/link/5907440748675/", "View Product")</f>
        <v/>
      </c>
    </row>
    <row r="623">
      <c r="A623" t="inlineStr">
        <is>
          <t>5907529462751</t>
        </is>
      </c>
      <c r="B623" t="inlineStr">
        <is>
          <t>Pirolam Nail Conditioner 11ml</t>
        </is>
      </c>
      <c r="C623" t="inlineStr">
        <is>
          <t>Nail Oil</t>
        </is>
      </c>
      <c r="D623" t="inlineStr">
        <is>
          <t>Piroctone Olamine</t>
        </is>
      </c>
      <c r="E623" t="n">
        <v>3.23</v>
      </c>
      <c r="F623" t="n">
        <v>1</v>
      </c>
      <c r="G623" t="n">
        <v>7</v>
      </c>
      <c r="H623" t="inlineStr">
        <is>
          <t>No</t>
        </is>
      </c>
      <c r="I623" t="inlineStr"/>
      <c r="J623" t="n">
        <v>1</v>
      </c>
      <c r="K623" t="n">
        <v>7</v>
      </c>
      <c r="L623" s="5">
        <f>HYPERLINK("https://api.qogita.com/variants/link/5907529462751/", "View Product")</f>
        <v/>
      </c>
    </row>
    <row r="624">
      <c r="A624" t="inlineStr">
        <is>
          <t>5907549201682</t>
        </is>
      </c>
      <c r="B624" t="inlineStr">
        <is>
          <t>Donegal Nail Scissors Steel</t>
        </is>
      </c>
      <c r="C624" t="inlineStr">
        <is>
          <t>Nail Clippers &amp; Tools</t>
        </is>
      </c>
      <c r="D624" t="inlineStr">
        <is>
          <t>Donegal</t>
        </is>
      </c>
      <c r="E624" t="n">
        <v>2.03</v>
      </c>
      <c r="F624" t="n">
        <v>1</v>
      </c>
      <c r="G624" t="n">
        <v>13</v>
      </c>
      <c r="H624" t="inlineStr">
        <is>
          <t>No</t>
        </is>
      </c>
      <c r="I624" t="inlineStr"/>
      <c r="J624" t="n">
        <v>1</v>
      </c>
      <c r="K624" t="n">
        <v>13</v>
      </c>
      <c r="L624" s="5">
        <f>HYPERLINK("https://api.qogita.com/variants/link/5907549201682/", "View Product")</f>
        <v/>
      </c>
    </row>
    <row r="625">
      <c r="A625" t="inlineStr">
        <is>
          <t>5907549206441</t>
        </is>
      </c>
      <c r="B625" t="inlineStr">
        <is>
          <t>Donegal Cuticle Nippers 4mm 9644 - Perfect For Nail Care</t>
        </is>
      </c>
      <c r="C625" t="inlineStr">
        <is>
          <t>Nail Clippers &amp; Tools</t>
        </is>
      </c>
      <c r="D625" t="inlineStr">
        <is>
          <t>Donegal</t>
        </is>
      </c>
      <c r="E625" t="n">
        <v>4.91</v>
      </c>
      <c r="F625" t="n">
        <v>1</v>
      </c>
      <c r="G625" t="n">
        <v>25</v>
      </c>
      <c r="H625" t="inlineStr">
        <is>
          <t>No</t>
        </is>
      </c>
      <c r="I625" t="inlineStr"/>
      <c r="J625" t="n">
        <v>1</v>
      </c>
      <c r="K625" t="n">
        <v>25</v>
      </c>
      <c r="L625" s="5">
        <f>HYPERLINK("https://api.qogita.com/variants/link/5907549206441/", "View Product")</f>
        <v/>
      </c>
    </row>
    <row r="626">
      <c r="A626" t="inlineStr">
        <is>
          <t>5907549209428</t>
        </is>
      </c>
      <c r="B626" t="inlineStr">
        <is>
          <t>Donegal Cuticle Nippers 7mm 9942 - Essential Nail Care Tool</t>
        </is>
      </c>
      <c r="C626" t="inlineStr">
        <is>
          <t>Nail Clippers &amp; Tools</t>
        </is>
      </c>
      <c r="D626" t="inlineStr">
        <is>
          <t>Donegal</t>
        </is>
      </c>
      <c r="E626" t="n">
        <v>2.67</v>
      </c>
      <c r="F626" t="n">
        <v>1</v>
      </c>
      <c r="G626" t="n">
        <v>15</v>
      </c>
      <c r="H626" t="inlineStr">
        <is>
          <t>No</t>
        </is>
      </c>
      <c r="I626" t="inlineStr"/>
      <c r="J626" t="n">
        <v>1</v>
      </c>
      <c r="K626" t="n">
        <v>15</v>
      </c>
      <c r="L626" s="5">
        <f>HYPERLINK("https://api.qogita.com/variants/link/5907549209428/", "View Product")</f>
        <v/>
      </c>
    </row>
    <row r="627">
      <c r="A627" t="inlineStr">
        <is>
          <t>5907549210066</t>
        </is>
      </c>
      <c r="B627" t="inlineStr">
        <is>
          <t>Donegal Nail Scissors 1006 - Perfect For Nail Care</t>
        </is>
      </c>
      <c r="C627" t="inlineStr">
        <is>
          <t>Nail Clippers &amp; Tools</t>
        </is>
      </c>
      <c r="D627" t="inlineStr">
        <is>
          <t>Donegal</t>
        </is>
      </c>
      <c r="E627" t="n">
        <v>1.03</v>
      </c>
      <c r="F627" t="n">
        <v>1</v>
      </c>
      <c r="G627" t="n">
        <v>32</v>
      </c>
      <c r="H627" t="inlineStr">
        <is>
          <t>No</t>
        </is>
      </c>
      <c r="I627" t="inlineStr"/>
      <c r="J627" t="n">
        <v>1</v>
      </c>
      <c r="K627" t="n">
        <v>32</v>
      </c>
      <c r="L627" s="5">
        <f>HYPERLINK("https://api.qogita.com/variants/link/5907549210066/", "View Product")</f>
        <v/>
      </c>
    </row>
    <row r="628">
      <c r="A628" t="inlineStr">
        <is>
          <t>5907549210073</t>
        </is>
      </c>
      <c r="B628" t="inlineStr">
        <is>
          <t>Donegal Cuticle Scissors 1007 - Essential Tool For Nail Care</t>
        </is>
      </c>
      <c r="C628" t="inlineStr">
        <is>
          <t>Nail Clippers &amp; Tools</t>
        </is>
      </c>
      <c r="D628" t="inlineStr">
        <is>
          <t>Donegal</t>
        </is>
      </c>
      <c r="E628" t="n">
        <v>0.98</v>
      </c>
      <c r="F628" t="n">
        <v>1</v>
      </c>
      <c r="G628" t="n">
        <v>26</v>
      </c>
      <c r="H628" t="inlineStr">
        <is>
          <t>No</t>
        </is>
      </c>
      <c r="I628" t="inlineStr"/>
      <c r="J628" t="n">
        <v>1</v>
      </c>
      <c r="K628" t="n">
        <v>26</v>
      </c>
      <c r="L628" s="5">
        <f>HYPERLINK("https://api.qogita.com/variants/link/5907549210073/", "View Product")</f>
        <v/>
      </c>
    </row>
    <row r="629">
      <c r="A629" t="inlineStr">
        <is>
          <t>5907549210103</t>
        </is>
      </c>
      <c r="B629" t="inlineStr">
        <is>
          <t>Donegal Nail Scissors Black 1010 - Perfect For Precise Nail Trimming</t>
        </is>
      </c>
      <c r="C629" t="inlineStr">
        <is>
          <t>Nail Clippers &amp; Tools</t>
        </is>
      </c>
      <c r="D629" t="inlineStr">
        <is>
          <t>Donegal</t>
        </is>
      </c>
      <c r="E629" t="n">
        <v>1.41</v>
      </c>
      <c r="F629" t="n">
        <v>1</v>
      </c>
      <c r="G629" t="n">
        <v>8</v>
      </c>
      <c r="H629" t="inlineStr">
        <is>
          <t>No</t>
        </is>
      </c>
      <c r="I629" t="inlineStr"/>
      <c r="J629" t="n">
        <v>1</v>
      </c>
      <c r="K629" t="n">
        <v>8</v>
      </c>
      <c r="L629" s="5">
        <f>HYPERLINK("https://api.qogita.com/variants/link/5907549210103/", "View Product")</f>
        <v/>
      </c>
    </row>
    <row r="630">
      <c r="A630" t="inlineStr">
        <is>
          <t>5907549210141</t>
        </is>
      </c>
      <c r="B630" t="inlineStr">
        <is>
          <t>Donegal Medium Nail Clipper 1014 - Perfect For Precise Nail Trimming</t>
        </is>
      </c>
      <c r="C630" t="inlineStr">
        <is>
          <t>Nail Clippers &amp; Tools</t>
        </is>
      </c>
      <c r="D630" t="inlineStr">
        <is>
          <t>Donegal</t>
        </is>
      </c>
      <c r="E630" t="n">
        <v>0.91</v>
      </c>
      <c r="F630" t="n">
        <v>1</v>
      </c>
      <c r="G630" t="n">
        <v>8</v>
      </c>
      <c r="H630" t="inlineStr">
        <is>
          <t>No</t>
        </is>
      </c>
      <c r="I630" t="inlineStr"/>
      <c r="J630" t="n">
        <v>1</v>
      </c>
      <c r="K630" t="n">
        <v>8</v>
      </c>
      <c r="L630" s="5">
        <f>HYPERLINK("https://api.qogita.com/variants/link/5907549210141/", "View Product")</f>
        <v/>
      </c>
    </row>
    <row r="631">
      <c r="A631" t="inlineStr">
        <is>
          <t>5907549210158</t>
        </is>
      </c>
      <c r="B631" t="inlineStr">
        <is>
          <t>Donegal Large Nail Clipper 1015 - Perfect For Precise Nail Trimming</t>
        </is>
      </c>
      <c r="C631" t="inlineStr">
        <is>
          <t>Nail Clippers &amp; Tools</t>
        </is>
      </c>
      <c r="D631" t="inlineStr">
        <is>
          <t>Donegal</t>
        </is>
      </c>
      <c r="E631" t="n">
        <v>1.09</v>
      </c>
      <c r="F631" t="n">
        <v>1</v>
      </c>
      <c r="G631" t="n">
        <v>27</v>
      </c>
      <c r="H631" t="inlineStr">
        <is>
          <t>No</t>
        </is>
      </c>
      <c r="I631" t="inlineStr"/>
      <c r="J631" t="n">
        <v>1</v>
      </c>
      <c r="K631" t="n">
        <v>27</v>
      </c>
      <c r="L631" s="5">
        <f>HYPERLINK("https://api.qogita.com/variants/link/5907549210158/", "View Product")</f>
        <v/>
      </c>
    </row>
    <row r="632">
      <c r="A632" t="inlineStr">
        <is>
          <t>5907549210196</t>
        </is>
      </c>
      <c r="B632" t="inlineStr">
        <is>
          <t>Donegal Sapphire Nail File 1019 15cm</t>
        </is>
      </c>
      <c r="C632" t="inlineStr">
        <is>
          <t>Nail Care</t>
        </is>
      </c>
      <c r="D632" t="inlineStr">
        <is>
          <t>Donegal</t>
        </is>
      </c>
      <c r="E632" t="n">
        <v>0.84</v>
      </c>
      <c r="F632" t="n">
        <v>1</v>
      </c>
      <c r="G632" t="n">
        <v>31</v>
      </c>
      <c r="H632" t="inlineStr">
        <is>
          <t>No</t>
        </is>
      </c>
      <c r="I632" t="inlineStr"/>
      <c r="J632" t="n">
        <v>1</v>
      </c>
      <c r="K632" t="n">
        <v>31</v>
      </c>
      <c r="L632" s="5">
        <f>HYPERLINK("https://api.qogita.com/variants/link/5907549210196/", "View Product")</f>
        <v/>
      </c>
    </row>
    <row r="633">
      <c r="A633" t="inlineStr">
        <is>
          <t>5907549210288</t>
        </is>
      </c>
      <c r="B633" t="inlineStr">
        <is>
          <t>Donegal Nail File 100/180 1028</t>
        </is>
      </c>
      <c r="C633" t="inlineStr">
        <is>
          <t>Nail Care</t>
        </is>
      </c>
      <c r="D633" t="inlineStr">
        <is>
          <t>Donegal</t>
        </is>
      </c>
      <c r="E633" t="n">
        <v>0.85</v>
      </c>
      <c r="F633" t="n">
        <v>1</v>
      </c>
      <c r="G633" t="n">
        <v>18</v>
      </c>
      <c r="H633" t="inlineStr">
        <is>
          <t>No</t>
        </is>
      </c>
      <c r="I633" t="inlineStr"/>
      <c r="J633" t="n">
        <v>1</v>
      </c>
      <c r="K633" t="n">
        <v>18</v>
      </c>
      <c r="L633" s="5">
        <f>HYPERLINK("https://api.qogita.com/variants/link/5907549210288/", "View Product")</f>
        <v/>
      </c>
    </row>
    <row r="634">
      <c r="A634" t="inlineStr">
        <is>
          <t>5907549210431</t>
        </is>
      </c>
      <c r="B634" t="inlineStr">
        <is>
          <t>Donegal Cuticle Pusher 1043 - Essential Nail Care Tool</t>
        </is>
      </c>
      <c r="C634" t="inlineStr">
        <is>
          <t>Cuticle Removers</t>
        </is>
      </c>
      <c r="D634" t="inlineStr">
        <is>
          <t>Donegal</t>
        </is>
      </c>
      <c r="E634" t="n">
        <v>0.83</v>
      </c>
      <c r="F634" t="n">
        <v>1</v>
      </c>
      <c r="G634" t="n">
        <v>26</v>
      </c>
      <c r="H634" t="inlineStr">
        <is>
          <t>No</t>
        </is>
      </c>
      <c r="I634" t="inlineStr"/>
      <c r="J634" t="n">
        <v>1</v>
      </c>
      <c r="K634" t="n">
        <v>26</v>
      </c>
      <c r="L634" s="5">
        <f>HYPERLINK("https://api.qogita.com/variants/link/5907549210431/", "View Product")</f>
        <v/>
      </c>
    </row>
    <row r="635">
      <c r="A635" t="inlineStr">
        <is>
          <t>5907549210813</t>
        </is>
      </c>
      <c r="B635" t="inlineStr">
        <is>
          <t>Donegal Cuticle Lifter for Unisex Adults</t>
        </is>
      </c>
      <c r="C635" t="inlineStr">
        <is>
          <t>Cuticle Removers</t>
        </is>
      </c>
      <c r="D635" t="inlineStr">
        <is>
          <t>Donegal</t>
        </is>
      </c>
      <c r="E635" t="n">
        <v>0.74</v>
      </c>
      <c r="F635" t="n">
        <v>1</v>
      </c>
      <c r="G635" t="n">
        <v>48</v>
      </c>
      <c r="H635" t="inlineStr">
        <is>
          <t>No</t>
        </is>
      </c>
      <c r="I635" t="inlineStr"/>
      <c r="J635" t="n">
        <v>1</v>
      </c>
      <c r="K635" t="n">
        <v>48</v>
      </c>
      <c r="L635" s="5">
        <f>HYPERLINK("https://api.qogita.com/variants/link/5907549210813/", "View Product")</f>
        <v/>
      </c>
    </row>
    <row r="636">
      <c r="A636" t="inlineStr">
        <is>
          <t>5907549220430</t>
        </is>
      </c>
      <c r="B636" t="inlineStr">
        <is>
          <t>Donegal Paper Nail File Straight 2043</t>
        </is>
      </c>
      <c r="C636" t="inlineStr">
        <is>
          <t>Nail Care</t>
        </is>
      </c>
      <c r="D636" t="inlineStr">
        <is>
          <t>Donegal</t>
        </is>
      </c>
      <c r="E636" t="n">
        <v>0.96</v>
      </c>
      <c r="F636" t="n">
        <v>1</v>
      </c>
      <c r="G636" t="n">
        <v>9</v>
      </c>
      <c r="H636" t="inlineStr">
        <is>
          <t>No</t>
        </is>
      </c>
      <c r="I636" t="inlineStr"/>
      <c r="J636" t="n">
        <v>1</v>
      </c>
      <c r="K636" t="n">
        <v>9</v>
      </c>
      <c r="L636" s="5">
        <f>HYPERLINK("https://api.qogita.com/variants/link/5907549220430/", "View Product")</f>
        <v/>
      </c>
    </row>
    <row r="637">
      <c r="A637" t="inlineStr">
        <is>
          <t>5907549220447</t>
        </is>
      </c>
      <c r="B637" t="inlineStr">
        <is>
          <t>Donegal Neon Play Curved Paper Nail File 2044</t>
        </is>
      </c>
      <c r="C637" t="inlineStr">
        <is>
          <t>Nail Care</t>
        </is>
      </c>
      <c r="D637" t="inlineStr">
        <is>
          <t>Donegal</t>
        </is>
      </c>
      <c r="E637" t="n">
        <v>0.91</v>
      </c>
      <c r="F637" t="n">
        <v>1</v>
      </c>
      <c r="G637" t="n">
        <v>13</v>
      </c>
      <c r="H637" t="inlineStr">
        <is>
          <t>No</t>
        </is>
      </c>
      <c r="I637" t="inlineStr"/>
      <c r="J637" t="n">
        <v>1</v>
      </c>
      <c r="K637" t="n">
        <v>13</v>
      </c>
      <c r="L637" s="5">
        <f>HYPERLINK("https://api.qogita.com/variants/link/5907549220447/", "View Product")</f>
        <v/>
      </c>
    </row>
    <row r="638">
      <c r="A638" t="inlineStr">
        <is>
          <t>5907549220478</t>
        </is>
      </c>
      <c r="B638" t="inlineStr">
        <is>
          <t>Donegal 3-Step Colored Nail File 2047</t>
        </is>
      </c>
      <c r="C638" t="inlineStr">
        <is>
          <t>Nail Care</t>
        </is>
      </c>
      <c r="D638" t="inlineStr">
        <is>
          <t>Donegal</t>
        </is>
      </c>
      <c r="E638" t="n">
        <v>0.95</v>
      </c>
      <c r="F638" t="n">
        <v>1</v>
      </c>
      <c r="G638" t="n">
        <v>11</v>
      </c>
      <c r="H638" t="inlineStr">
        <is>
          <t>No</t>
        </is>
      </c>
      <c r="I638" t="inlineStr"/>
      <c r="J638" t="n">
        <v>1</v>
      </c>
      <c r="K638" t="n">
        <v>11</v>
      </c>
      <c r="L638" s="5">
        <f>HYPERLINK("https://api.qogita.com/variants/link/5907549220478/", "View Product")</f>
        <v/>
      </c>
    </row>
    <row r="639">
      <c r="A639" t="inlineStr">
        <is>
          <t>5907549220751</t>
        </is>
      </c>
      <c r="B639" t="inlineStr">
        <is>
          <t>Donegal Nail File Boat 180/240 17.8cm 2075</t>
        </is>
      </c>
      <c r="C639" t="inlineStr">
        <is>
          <t>Nail Clippers &amp; Tools</t>
        </is>
      </c>
      <c r="D639" t="inlineStr">
        <is>
          <t>Donegal</t>
        </is>
      </c>
      <c r="E639" t="n">
        <v>0.95</v>
      </c>
      <c r="F639" t="n">
        <v>1</v>
      </c>
      <c r="G639" t="n">
        <v>27</v>
      </c>
      <c r="H639" t="inlineStr">
        <is>
          <t>No</t>
        </is>
      </c>
      <c r="I639" t="inlineStr"/>
      <c r="J639" t="n">
        <v>1</v>
      </c>
      <c r="K639" t="n">
        <v>27</v>
      </c>
      <c r="L639" s="5">
        <f>HYPERLINK("https://api.qogita.com/variants/link/5907549220751/", "View Product")</f>
        <v/>
      </c>
    </row>
    <row r="640">
      <c r="A640" t="inlineStr">
        <is>
          <t>5907549221079</t>
        </is>
      </c>
      <c r="B640" t="inlineStr">
        <is>
          <t>Donegal Nail Clipper 2107 - Essential Tool For Nail Care</t>
        </is>
      </c>
      <c r="C640" t="inlineStr">
        <is>
          <t>Nail Clippers &amp; Tools</t>
        </is>
      </c>
      <c r="D640" t="inlineStr">
        <is>
          <t>Donegal</t>
        </is>
      </c>
      <c r="E640" t="n">
        <v>1.36</v>
      </c>
      <c r="F640" t="n">
        <v>1</v>
      </c>
      <c r="G640" t="n">
        <v>14</v>
      </c>
      <c r="H640" t="inlineStr">
        <is>
          <t>No</t>
        </is>
      </c>
      <c r="I640" t="inlineStr"/>
      <c r="J640" t="n">
        <v>1</v>
      </c>
      <c r="K640" t="n">
        <v>14</v>
      </c>
      <c r="L640" s="5">
        <f>HYPERLINK("https://api.qogita.com/variants/link/5907549221079/", "View Product")</f>
        <v/>
      </c>
    </row>
    <row r="641">
      <c r="A641" t="inlineStr">
        <is>
          <t>5907549221345</t>
        </is>
      </c>
      <c r="B641" t="inlineStr">
        <is>
          <t>Donegal Metal Cuticle Pusher 12.7 Cm</t>
        </is>
      </c>
      <c r="C641" t="inlineStr">
        <is>
          <t>Cuticle Removers</t>
        </is>
      </c>
      <c r="D641" t="inlineStr">
        <is>
          <t>Donegal</t>
        </is>
      </c>
      <c r="E641" t="n">
        <v>1.59</v>
      </c>
      <c r="F641" t="n">
        <v>1</v>
      </c>
      <c r="G641" t="n">
        <v>28</v>
      </c>
      <c r="H641" t="inlineStr">
        <is>
          <t>No</t>
        </is>
      </c>
      <c r="I641" t="inlineStr"/>
      <c r="J641" t="n">
        <v>1</v>
      </c>
      <c r="K641" t="n">
        <v>28</v>
      </c>
      <c r="L641" s="5">
        <f>HYPERLINK("https://api.qogita.com/variants/link/5907549221345/", "View Product")</f>
        <v/>
      </c>
    </row>
    <row r="642">
      <c r="A642" t="inlineStr">
        <is>
          <t>5907549222168</t>
        </is>
      </c>
      <c r="B642" t="inlineStr">
        <is>
          <t>Donegal Colorful Cuticle Pushers 2216</t>
        </is>
      </c>
      <c r="C642" t="inlineStr">
        <is>
          <t>Cuticle Removers</t>
        </is>
      </c>
      <c r="D642" t="inlineStr">
        <is>
          <t>Donegal</t>
        </is>
      </c>
      <c r="E642" t="n">
        <v>4.61</v>
      </c>
      <c r="F642" t="n">
        <v>1</v>
      </c>
      <c r="G642" t="n">
        <v>9</v>
      </c>
      <c r="H642" t="inlineStr">
        <is>
          <t>No</t>
        </is>
      </c>
      <c r="I642" t="inlineStr"/>
      <c r="J642" t="n">
        <v>1</v>
      </c>
      <c r="K642" t="n">
        <v>9</v>
      </c>
      <c r="L642" s="5">
        <f>HYPERLINK("https://api.qogita.com/variants/link/5907549222168/", "View Product")</f>
        <v/>
      </c>
    </row>
    <row r="643">
      <c r="A643" t="inlineStr">
        <is>
          <t>5907549222175</t>
        </is>
      </c>
      <c r="B643" t="inlineStr">
        <is>
          <t>Donegal Cuticle Nippers 2217 Silver 5mm</t>
        </is>
      </c>
      <c r="C643" t="inlineStr">
        <is>
          <t>Cuticle Removers</t>
        </is>
      </c>
      <c r="D643" t="inlineStr">
        <is>
          <t>Dónagal</t>
        </is>
      </c>
      <c r="E643" t="n">
        <v>2.96</v>
      </c>
      <c r="F643" t="n">
        <v>1</v>
      </c>
      <c r="G643" t="n">
        <v>24</v>
      </c>
      <c r="H643" t="inlineStr">
        <is>
          <t>No</t>
        </is>
      </c>
      <c r="I643" t="inlineStr"/>
      <c r="J643" t="n">
        <v>1</v>
      </c>
      <c r="K643" t="n">
        <v>24</v>
      </c>
      <c r="L643" s="5">
        <f>HYPERLINK("https://api.qogita.com/variants/link/5907549222175/", "View Product")</f>
        <v/>
      </c>
    </row>
    <row r="644">
      <c r="A644" t="inlineStr">
        <is>
          <t>5907549222243</t>
        </is>
      </c>
      <c r="B644" t="inlineStr">
        <is>
          <t>Donegal Play Ii Cuticle Scissors Neon - Perfect For Nail Care</t>
        </is>
      </c>
      <c r="C644" t="inlineStr">
        <is>
          <t>Nail Clippers &amp; Tools</t>
        </is>
      </c>
      <c r="D644" t="inlineStr">
        <is>
          <t>Donegal</t>
        </is>
      </c>
      <c r="E644" t="n">
        <v>1.58</v>
      </c>
      <c r="F644" t="n">
        <v>1</v>
      </c>
      <c r="G644" t="n">
        <v>7</v>
      </c>
      <c r="H644" t="inlineStr">
        <is>
          <t>No</t>
        </is>
      </c>
      <c r="I644" t="inlineStr"/>
      <c r="J644" t="n">
        <v>1</v>
      </c>
      <c r="K644" t="n">
        <v>7</v>
      </c>
      <c r="L644" s="5">
        <f>HYPERLINK("https://api.qogita.com/variants/link/5907549222243/", "View Product")</f>
        <v/>
      </c>
    </row>
    <row r="645">
      <c r="A645" t="inlineStr">
        <is>
          <t>5907549222250</t>
        </is>
      </c>
      <c r="B645" t="inlineStr">
        <is>
          <t>Donegal Cuticle Clippers 2225 - Precision Nail Care Tool</t>
        </is>
      </c>
      <c r="C645" t="inlineStr">
        <is>
          <t>Nail Clippers &amp; Tools</t>
        </is>
      </c>
      <c r="D645" t="inlineStr">
        <is>
          <t>Donegal</t>
        </is>
      </c>
      <c r="E645" t="n">
        <v>2.38</v>
      </c>
      <c r="F645" t="n">
        <v>1</v>
      </c>
      <c r="G645" t="n">
        <v>23</v>
      </c>
      <c r="H645" t="inlineStr">
        <is>
          <t>No</t>
        </is>
      </c>
      <c r="I645" t="inlineStr"/>
      <c r="J645" t="n">
        <v>1</v>
      </c>
      <c r="K645" t="n">
        <v>23</v>
      </c>
      <c r="L645" s="5">
        <f>HYPERLINK("https://api.qogita.com/variants/link/5907549222250/", "View Product")</f>
        <v/>
      </c>
    </row>
    <row r="646">
      <c r="A646" t="inlineStr">
        <is>
          <t>5907549224278</t>
        </is>
      </c>
      <c r="B646" t="inlineStr">
        <is>
          <t>Donegal 7-Piece Manicure Set 2427 - Essential Nail Care Kit</t>
        </is>
      </c>
      <c r="C646" t="inlineStr">
        <is>
          <t>Manicure Sets</t>
        </is>
      </c>
      <c r="D646" t="inlineStr">
        <is>
          <t>Donegal</t>
        </is>
      </c>
      <c r="E646" t="n">
        <v>4.94</v>
      </c>
      <c r="F646" t="n">
        <v>1</v>
      </c>
      <c r="G646" t="n">
        <v>6</v>
      </c>
      <c r="H646" t="inlineStr">
        <is>
          <t>No</t>
        </is>
      </c>
      <c r="I646" t="inlineStr"/>
      <c r="J646" t="n">
        <v>1</v>
      </c>
      <c r="K646" t="n">
        <v>6</v>
      </c>
      <c r="L646" s="5">
        <f>HYPERLINK("https://api.qogita.com/variants/link/5907549224278/", "View Product")</f>
        <v/>
      </c>
    </row>
    <row r="647">
      <c r="A647" t="inlineStr">
        <is>
          <t>5907549224292</t>
        </is>
      </c>
      <c r="B647" t="inlineStr">
        <is>
          <t>Donegal Manicure Set 2429</t>
        </is>
      </c>
      <c r="C647" t="inlineStr">
        <is>
          <t>Manicure Sets</t>
        </is>
      </c>
      <c r="D647" t="inlineStr">
        <is>
          <t>Donegal</t>
        </is>
      </c>
      <c r="E647" t="n">
        <v>5</v>
      </c>
      <c r="F647" t="n">
        <v>1</v>
      </c>
      <c r="G647" t="n">
        <v>3</v>
      </c>
      <c r="H647" t="inlineStr">
        <is>
          <t>No</t>
        </is>
      </c>
      <c r="I647" t="inlineStr"/>
      <c r="J647" t="n">
        <v>1</v>
      </c>
      <c r="K647" t="n">
        <v>3</v>
      </c>
      <c r="L647" s="5">
        <f>HYPERLINK("https://api.qogita.com/variants/link/5907549224292/", "View Product")</f>
        <v/>
      </c>
    </row>
    <row r="648">
      <c r="A648" t="inlineStr">
        <is>
          <t>5907565676778</t>
        </is>
      </c>
      <c r="B648" t="inlineStr">
        <is>
          <t>Clavier Nail Drill 65w Fx 600 White</t>
        </is>
      </c>
      <c r="C648" t="inlineStr">
        <is>
          <t>Nail Clippers &amp; Tools</t>
        </is>
      </c>
      <c r="D648" t="inlineStr">
        <is>
          <t>Clavier</t>
        </is>
      </c>
      <c r="E648" t="n">
        <v>16.94</v>
      </c>
      <c r="F648" t="n">
        <v>1</v>
      </c>
      <c r="G648" t="n">
        <v>1</v>
      </c>
      <c r="H648" t="inlineStr">
        <is>
          <t>No</t>
        </is>
      </c>
      <c r="I648" t="inlineStr"/>
      <c r="J648" t="n">
        <v>1</v>
      </c>
      <c r="K648" t="n">
        <v>1</v>
      </c>
      <c r="L648" s="5">
        <f>HYPERLINK("https://api.qogita.com/variants/link/5907565676778/", "View Product")</f>
        <v/>
      </c>
    </row>
    <row r="649">
      <c r="A649" t="inlineStr">
        <is>
          <t>5907731971478</t>
        </is>
      </c>
      <c r="B649" t="inlineStr">
        <is>
          <t>Claresa Cuticle Oil Lemon 5g</t>
        </is>
      </c>
      <c r="C649" t="inlineStr">
        <is>
          <t>Nail Oil</t>
        </is>
      </c>
      <c r="D649" t="inlineStr">
        <is>
          <t>Claresa</t>
        </is>
      </c>
      <c r="E649" t="n">
        <v>1.13</v>
      </c>
      <c r="F649" t="n">
        <v>1</v>
      </c>
      <c r="G649" t="n">
        <v>4</v>
      </c>
      <c r="H649" t="inlineStr">
        <is>
          <t>No</t>
        </is>
      </c>
      <c r="I649" t="inlineStr"/>
      <c r="J649" t="n">
        <v>1</v>
      </c>
      <c r="K649" t="n">
        <v>4</v>
      </c>
      <c r="L649" s="5">
        <f>HYPERLINK("https://api.qogita.com/variants/link/5907731971478/", "View Product")</f>
        <v/>
      </c>
    </row>
    <row r="650">
      <c r="A650" t="inlineStr">
        <is>
          <t>5907731971485</t>
        </is>
      </c>
      <c r="B650" t="inlineStr">
        <is>
          <t>Claresa Cuticle Oil Peach 5g - Nourishing Cuticle Oil</t>
        </is>
      </c>
      <c r="C650" t="inlineStr">
        <is>
          <t>Nail Oil</t>
        </is>
      </c>
      <c r="D650" t="inlineStr">
        <is>
          <t>Claresa</t>
        </is>
      </c>
      <c r="E650" t="n">
        <v>1.13</v>
      </c>
      <c r="F650" t="n">
        <v>1</v>
      </c>
      <c r="G650" t="n">
        <v>1</v>
      </c>
      <c r="H650" t="inlineStr">
        <is>
          <t>No</t>
        </is>
      </c>
      <c r="I650" t="inlineStr"/>
      <c r="J650" t="n">
        <v>1</v>
      </c>
      <c r="K650" t="n">
        <v>1</v>
      </c>
      <c r="L650" s="5">
        <f>HYPERLINK("https://api.qogita.com/variants/link/5907731971485/", "View Product")</f>
        <v/>
      </c>
    </row>
    <row r="651">
      <c r="A651" t="inlineStr">
        <is>
          <t>5907731971492</t>
        </is>
      </c>
      <c r="B651" t="inlineStr">
        <is>
          <t>Claresa Cherry Cuticle Oil 5g</t>
        </is>
      </c>
      <c r="C651" t="inlineStr">
        <is>
          <t>Nail Oil</t>
        </is>
      </c>
      <c r="D651" t="inlineStr">
        <is>
          <t>Claresa</t>
        </is>
      </c>
      <c r="E651" t="n">
        <v>0.85</v>
      </c>
      <c r="F651" t="n">
        <v>1</v>
      </c>
      <c r="G651" t="n">
        <v>7</v>
      </c>
      <c r="H651" t="inlineStr">
        <is>
          <t>No</t>
        </is>
      </c>
      <c r="I651" t="inlineStr"/>
      <c r="J651" t="n">
        <v>2</v>
      </c>
      <c r="K651" t="n">
        <v>26</v>
      </c>
      <c r="L651" s="5">
        <f>HYPERLINK("https://api.qogita.com/variants/link/5907731971492/", "View Product")</f>
        <v/>
      </c>
    </row>
    <row r="652">
      <c r="A652" t="inlineStr">
        <is>
          <t>5907996059287</t>
        </is>
      </c>
      <c r="B652" t="inlineStr">
        <is>
          <t>Clavier Professional Nail Drill 65w Fx 620 Black</t>
        </is>
      </c>
      <c r="C652" t="inlineStr">
        <is>
          <t>Nail Care</t>
        </is>
      </c>
      <c r="D652" t="inlineStr">
        <is>
          <t>Clavier</t>
        </is>
      </c>
      <c r="E652" t="n">
        <v>25.2</v>
      </c>
      <c r="F652" t="n">
        <v>1</v>
      </c>
      <c r="G652" t="n">
        <v>21</v>
      </c>
      <c r="H652" t="inlineStr">
        <is>
          <t>No</t>
        </is>
      </c>
      <c r="I652" t="inlineStr"/>
      <c r="J652" t="n">
        <v>1</v>
      </c>
      <c r="K652" t="n">
        <v>21</v>
      </c>
      <c r="L652" s="5">
        <f>HYPERLINK("https://api.qogita.com/variants/link/5907996059287/", "View Product")</f>
        <v/>
      </c>
    </row>
    <row r="653">
      <c r="A653" t="inlineStr">
        <is>
          <t>5907996059294</t>
        </is>
      </c>
      <c r="B653" t="inlineStr">
        <is>
          <t>Clavier Professional Nail Drill 65w Fx 620 White</t>
        </is>
      </c>
      <c r="C653" t="inlineStr">
        <is>
          <t>Nail Care</t>
        </is>
      </c>
      <c r="D653" t="inlineStr">
        <is>
          <t>Clavier</t>
        </is>
      </c>
      <c r="E653" t="n">
        <v>26.57</v>
      </c>
      <c r="F653" t="n">
        <v>1</v>
      </c>
      <c r="G653" t="n">
        <v>3</v>
      </c>
      <c r="H653" t="inlineStr">
        <is>
          <t>No</t>
        </is>
      </c>
      <c r="I653" t="inlineStr"/>
      <c r="J653" t="n">
        <v>1</v>
      </c>
      <c r="K653" t="n">
        <v>3</v>
      </c>
      <c r="L653" s="5">
        <f>HYPERLINK("https://api.qogita.com/variants/link/5907996059294/", "View Product")</f>
        <v/>
      </c>
    </row>
    <row r="654">
      <c r="A654" t="inlineStr">
        <is>
          <t>5908272826937</t>
        </is>
      </c>
      <c r="B654" t="inlineStr">
        <is>
          <t>Celia Nail Expert Cuticle and Nail Oil 10ml</t>
        </is>
      </c>
      <c r="C654" t="inlineStr">
        <is>
          <t>Nail Oil</t>
        </is>
      </c>
      <c r="D654" t="inlineStr">
        <is>
          <t>Celine</t>
        </is>
      </c>
      <c r="E654" t="n">
        <v>2.35</v>
      </c>
      <c r="F654" t="n">
        <v>1</v>
      </c>
      <c r="G654" t="n">
        <v>20</v>
      </c>
      <c r="H654" t="inlineStr">
        <is>
          <t>No</t>
        </is>
      </c>
      <c r="I654" t="inlineStr"/>
      <c r="J654" t="n">
        <v>2</v>
      </c>
      <c r="K654" t="n">
        <v>21</v>
      </c>
      <c r="L654" s="5">
        <f>HYPERLINK("https://api.qogita.com/variants/link/5908272826937/", "View Product")</f>
        <v/>
      </c>
    </row>
    <row r="655">
      <c r="A655" t="inlineStr">
        <is>
          <t>3401395566091</t>
        </is>
      </c>
      <c r="B655" t="inlineStr">
        <is>
          <t>Svr Xerial 40 Nail Gel 10 Ml</t>
        </is>
      </c>
      <c r="C655" t="inlineStr">
        <is>
          <t>Nail Oil</t>
        </is>
      </c>
      <c r="D655" t="inlineStr">
        <is>
          <t>Svr</t>
        </is>
      </c>
      <c r="E655" t="n">
        <v>7.03</v>
      </c>
      <c r="F655" t="n">
        <v>1</v>
      </c>
      <c r="G655" t="n">
        <v>131</v>
      </c>
      <c r="H655" t="inlineStr">
        <is>
          <t>No</t>
        </is>
      </c>
      <c r="I655" t="inlineStr"/>
      <c r="J655" t="n">
        <v>3</v>
      </c>
      <c r="K655" t="n">
        <v>182</v>
      </c>
      <c r="L655" s="5">
        <f>HYPERLINK("https://api.qogita.com/variants/link/3401395566091/", "View Product")</f>
        <v/>
      </c>
    </row>
    <row r="656">
      <c r="A656" t="inlineStr">
        <is>
          <t>3664492000565</t>
        </is>
      </c>
      <c r="B656" t="inlineStr">
        <is>
          <t>Urgo Stop Nail Biting Transparent Bitter Tasting Nail Polish</t>
        </is>
      </c>
      <c r="C656" t="inlineStr">
        <is>
          <t>Nail Oil</t>
        </is>
      </c>
      <c r="D656" t="inlineStr">
        <is>
          <t>Urgo</t>
        </is>
      </c>
      <c r="E656" t="n">
        <v>7.87</v>
      </c>
      <c r="F656" t="n">
        <v>1</v>
      </c>
      <c r="G656" t="n">
        <v>1</v>
      </c>
      <c r="H656" t="inlineStr">
        <is>
          <t>No</t>
        </is>
      </c>
      <c r="I656" t="inlineStr"/>
      <c r="J656" t="n">
        <v>1</v>
      </c>
      <c r="K656" t="n">
        <v>1</v>
      </c>
      <c r="L656" s="5">
        <f>HYPERLINK("https://api.qogita.com/variants/link/3664492000565/", "View Product")</f>
        <v/>
      </c>
    </row>
    <row r="657">
      <c r="A657" t="inlineStr">
        <is>
          <t>4059729409676</t>
        </is>
      </c>
      <c r="B657" t="inlineStr">
        <is>
          <t>Essence Cosmetics The Nail Balm 8ml</t>
        </is>
      </c>
      <c r="C657" t="inlineStr">
        <is>
          <t>Nail Oil</t>
        </is>
      </c>
      <c r="D657" t="inlineStr">
        <is>
          <t>Essence</t>
        </is>
      </c>
      <c r="E657" t="n">
        <v>1.46</v>
      </c>
      <c r="F657" t="n">
        <v>1</v>
      </c>
      <c r="G657" t="n">
        <v>2</v>
      </c>
      <c r="H657" t="inlineStr">
        <is>
          <t>No</t>
        </is>
      </c>
      <c r="I657" t="inlineStr"/>
      <c r="J657" t="n">
        <v>1</v>
      </c>
      <c r="K657" t="n">
        <v>2</v>
      </c>
      <c r="L657" s="5">
        <f>HYPERLINK("https://api.qogita.com/variants/link/4059729409676/", "View Product")</f>
        <v/>
      </c>
    </row>
    <row r="658">
      <c r="A658" t="inlineStr">
        <is>
          <t>4064665205763</t>
        </is>
      </c>
      <c r="B658" t="inlineStr">
        <is>
          <t>Opi Natural Nail Strengthener 15ml</t>
        </is>
      </c>
      <c r="C658" t="inlineStr">
        <is>
          <t>Nail Care Sets</t>
        </is>
      </c>
      <c r="D658" t="inlineStr">
        <is>
          <t>OPI</t>
        </is>
      </c>
      <c r="E658" t="n">
        <v>10.42</v>
      </c>
      <c r="F658" t="n">
        <v>1</v>
      </c>
      <c r="G658" t="n">
        <v>1</v>
      </c>
      <c r="H658" t="inlineStr">
        <is>
          <t>No</t>
        </is>
      </c>
      <c r="I658" t="inlineStr"/>
      <c r="J658" t="n">
        <v>1</v>
      </c>
      <c r="K658" t="n">
        <v>1</v>
      </c>
      <c r="L658" s="5">
        <f>HYPERLINK("https://api.qogita.com/variants/link/4064665205763/", "View Product")</f>
        <v/>
      </c>
    </row>
    <row r="659">
      <c r="A659" t="inlineStr">
        <is>
          <t>4064665205794</t>
        </is>
      </c>
      <c r="B659" t="inlineStr">
        <is>
          <t>Opi Nail Envy Original Nail Treatment 15ml</t>
        </is>
      </c>
      <c r="C659" t="inlineStr">
        <is>
          <t>Nail Care Sets</t>
        </is>
      </c>
      <c r="D659" t="inlineStr">
        <is>
          <t>OPI</t>
        </is>
      </c>
      <c r="E659" t="n">
        <v>18.1</v>
      </c>
      <c r="F659" t="n">
        <v>1</v>
      </c>
      <c r="G659" t="n">
        <v>1</v>
      </c>
      <c r="H659" t="inlineStr">
        <is>
          <t>No</t>
        </is>
      </c>
      <c r="I659" t="inlineStr"/>
      <c r="J659" t="n">
        <v>1</v>
      </c>
      <c r="K659" t="n">
        <v>1</v>
      </c>
      <c r="L659" s="5">
        <f>HYPERLINK("https://api.qogita.com/variants/link/4064665205794/", "View Product")</f>
        <v/>
      </c>
    </row>
    <row r="660">
      <c r="A660" t="inlineStr">
        <is>
          <t>5410765005755</t>
        </is>
      </c>
      <c r="B660" t="inlineStr">
        <is>
          <t>Excilor Easy Nail Fungus Treatment Pen</t>
        </is>
      </c>
      <c r="C660" t="inlineStr">
        <is>
          <t>Nail Oil</t>
        </is>
      </c>
      <c r="D660" t="inlineStr">
        <is>
          <t>Excilor</t>
        </is>
      </c>
      <c r="E660" t="n">
        <v>11.75</v>
      </c>
      <c r="F660" t="n">
        <v>1</v>
      </c>
      <c r="G660" t="n">
        <v>4</v>
      </c>
      <c r="H660" t="inlineStr">
        <is>
          <t>No</t>
        </is>
      </c>
      <c r="I660" t="inlineStr"/>
      <c r="J660" t="n">
        <v>1</v>
      </c>
      <c r="K660" t="n">
        <v>4</v>
      </c>
      <c r="L660" s="5">
        <f>HYPERLINK("https://api.qogita.com/variants/link/5410765005755/", "View Product")</f>
        <v/>
      </c>
    </row>
    <row r="661">
      <c r="A661" t="inlineStr">
        <is>
          <t>5600307240298</t>
        </is>
      </c>
      <c r="B661" t="inlineStr">
        <is>
          <t>Ms Professional Set Manicure Digital 35000rpm</t>
        </is>
      </c>
      <c r="C661" t="inlineStr">
        <is>
          <t>Manicure Sets</t>
        </is>
      </c>
      <c r="D661" t="inlineStr">
        <is>
          <t>Ms Professional</t>
        </is>
      </c>
      <c r="E661" t="n">
        <v>50.41</v>
      </c>
      <c r="F661" t="n">
        <v>1</v>
      </c>
      <c r="G661" t="n">
        <v>1</v>
      </c>
      <c r="H661" t="inlineStr">
        <is>
          <t>No</t>
        </is>
      </c>
      <c r="I661" t="inlineStr"/>
      <c r="J661" t="n">
        <v>1</v>
      </c>
      <c r="K661" t="n">
        <v>1</v>
      </c>
      <c r="L661" s="5">
        <f>HYPERLINK("https://api.qogita.com/variants/link/5600307240298/", "View Product")</f>
        <v/>
      </c>
    </row>
    <row r="662">
      <c r="A662" t="inlineStr">
        <is>
          <t>5600482302880</t>
        </is>
      </c>
      <c r="B662" t="inlineStr">
        <is>
          <t>Rickiparodi Medium Nail Clipper</t>
        </is>
      </c>
      <c r="C662" t="inlineStr">
        <is>
          <t>Nail Clippers &amp; Tools</t>
        </is>
      </c>
      <c r="D662" t="inlineStr">
        <is>
          <t>Rciparodi</t>
        </is>
      </c>
      <c r="E662" t="n">
        <v>1.18</v>
      </c>
      <c r="F662" t="n">
        <v>1</v>
      </c>
      <c r="G662" t="n">
        <v>3</v>
      </c>
      <c r="H662" t="inlineStr">
        <is>
          <t>No</t>
        </is>
      </c>
      <c r="I662" t="inlineStr"/>
      <c r="J662" t="n">
        <v>1</v>
      </c>
      <c r="K662" t="n">
        <v>3</v>
      </c>
      <c r="L662" s="5">
        <f>HYPERLINK("https://api.qogita.com/variants/link/5600482302880/", "View Product")</f>
        <v/>
      </c>
    </row>
    <row r="663">
      <c r="A663" t="inlineStr">
        <is>
          <t>5600482302897</t>
        </is>
      </c>
      <c r="B663" t="inlineStr">
        <is>
          <t>Rickiparodi Large Nail Clipper</t>
        </is>
      </c>
      <c r="C663" t="inlineStr">
        <is>
          <t>Nail Clippers &amp; Tools</t>
        </is>
      </c>
      <c r="D663" t="inlineStr">
        <is>
          <t>Rciparodi</t>
        </is>
      </c>
      <c r="E663" t="n">
        <v>1.53</v>
      </c>
      <c r="F663" t="n">
        <v>1</v>
      </c>
      <c r="G663" t="n">
        <v>3</v>
      </c>
      <c r="H663" t="inlineStr">
        <is>
          <t>No</t>
        </is>
      </c>
      <c r="I663" t="inlineStr"/>
      <c r="J663" t="n">
        <v>1</v>
      </c>
      <c r="K663" t="n">
        <v>3</v>
      </c>
      <c r="L663" s="5">
        <f>HYPERLINK("https://api.qogita.com/variants/link/5600482302897/", "View Product")</f>
        <v/>
      </c>
    </row>
    <row r="664">
      <c r="A664" t="inlineStr">
        <is>
          <t>5600482304051</t>
        </is>
      </c>
      <c r="B664" t="inlineStr">
        <is>
          <t>Rickiparodi Professional Half Moon Nail File 10 Units</t>
        </is>
      </c>
      <c r="C664" t="inlineStr">
        <is>
          <t>Manicure Sets</t>
        </is>
      </c>
      <c r="D664" t="inlineStr">
        <is>
          <t>Rciparodi</t>
        </is>
      </c>
      <c r="E664" t="n">
        <v>4.86</v>
      </c>
      <c r="F664" t="n">
        <v>1</v>
      </c>
      <c r="G664" t="n">
        <v>3</v>
      </c>
      <c r="H664" t="inlineStr">
        <is>
          <t>No</t>
        </is>
      </c>
      <c r="I664" t="inlineStr"/>
      <c r="J664" t="n">
        <v>1</v>
      </c>
      <c r="K664" t="n">
        <v>3</v>
      </c>
      <c r="L664" s="5">
        <f>HYPERLINK("https://api.qogita.com/variants/link/5600482304051/", "View Product")</f>
        <v/>
      </c>
    </row>
    <row r="665">
      <c r="A665" t="inlineStr">
        <is>
          <t>5600482304990</t>
        </is>
      </c>
      <c r="B665" t="inlineStr">
        <is>
          <t>Rickiparodi Nail Cleaning Solution 500ml</t>
        </is>
      </c>
      <c r="C665" t="inlineStr">
        <is>
          <t>Cuticle Removers</t>
        </is>
      </c>
      <c r="D665" t="inlineStr">
        <is>
          <t>Rciparodi</t>
        </is>
      </c>
      <c r="E665" t="n">
        <v>5.3</v>
      </c>
      <c r="F665" t="n">
        <v>1</v>
      </c>
      <c r="G665" t="n">
        <v>6</v>
      </c>
      <c r="H665" t="inlineStr">
        <is>
          <t>No</t>
        </is>
      </c>
      <c r="I665" t="inlineStr"/>
      <c r="J665" t="n">
        <v>1</v>
      </c>
      <c r="K665" t="n">
        <v>6</v>
      </c>
      <c r="L665" s="5">
        <f>HYPERLINK("https://api.qogita.com/variants/link/5600482304990/", "View Product")</f>
        <v/>
      </c>
    </row>
    <row r="666">
      <c r="A666" t="inlineStr">
        <is>
          <t>5600482305935</t>
        </is>
      </c>
      <c r="B666" t="inlineStr">
        <is>
          <t>Rickiparodi Traditional Fine Nail File 10 Units</t>
        </is>
      </c>
      <c r="C666" t="inlineStr">
        <is>
          <t>Nail Care Sets</t>
        </is>
      </c>
      <c r="D666" t="inlineStr">
        <is>
          <t>Rciparodi</t>
        </is>
      </c>
      <c r="E666" t="n">
        <v>3.5</v>
      </c>
      <c r="F666" t="n">
        <v>1</v>
      </c>
      <c r="G666" t="n">
        <v>2</v>
      </c>
      <c r="H666" t="inlineStr">
        <is>
          <t>No</t>
        </is>
      </c>
      <c r="I666" t="inlineStr"/>
      <c r="J666" t="n">
        <v>1</v>
      </c>
      <c r="K666" t="n">
        <v>2</v>
      </c>
      <c r="L666" s="5">
        <f>HYPERLINK("https://api.qogita.com/variants/link/5600482305935/", "View Product")</f>
        <v/>
      </c>
    </row>
    <row r="667">
      <c r="A667" t="inlineStr">
        <is>
          <t>5600482305959</t>
        </is>
      </c>
      <c r="B667" t="inlineStr">
        <is>
          <t>Rickiparodi Traditional Cushioned Nail File - 10 Units</t>
        </is>
      </c>
      <c r="C667" t="inlineStr">
        <is>
          <t>Nail Care Sets</t>
        </is>
      </c>
      <c r="D667" t="inlineStr">
        <is>
          <t>Rciparodi</t>
        </is>
      </c>
      <c r="E667" t="n">
        <v>3.68</v>
      </c>
      <c r="F667" t="n">
        <v>1</v>
      </c>
      <c r="G667" t="n">
        <v>1</v>
      </c>
      <c r="H667" t="inlineStr">
        <is>
          <t>No</t>
        </is>
      </c>
      <c r="I667" t="inlineStr"/>
      <c r="J667" t="n">
        <v>1</v>
      </c>
      <c r="K667" t="n">
        <v>1</v>
      </c>
      <c r="L667" s="5">
        <f>HYPERLINK("https://api.qogita.com/variants/link/5600482305959/", "View Product")</f>
        <v/>
      </c>
    </row>
    <row r="668">
      <c r="A668" t="inlineStr">
        <is>
          <t>5600482305966</t>
        </is>
      </c>
      <c r="B668" t="inlineStr">
        <is>
          <t>Rickiparodi Japanese Nail File 10 Units</t>
        </is>
      </c>
      <c r="C668" t="inlineStr">
        <is>
          <t>Nail Care Sets</t>
        </is>
      </c>
      <c r="D668" t="inlineStr">
        <is>
          <t>Rciparodi</t>
        </is>
      </c>
      <c r="E668" t="n">
        <v>4.87</v>
      </c>
      <c r="F668" t="n">
        <v>1</v>
      </c>
      <c r="G668" t="n">
        <v>1</v>
      </c>
      <c r="H668" t="inlineStr">
        <is>
          <t>No</t>
        </is>
      </c>
      <c r="I668" t="inlineStr"/>
      <c r="J668" t="n">
        <v>1</v>
      </c>
      <c r="K668" t="n">
        <v>1</v>
      </c>
      <c r="L668" s="5">
        <f>HYPERLINK("https://api.qogita.com/variants/link/5600482305966/", "View Product")</f>
        <v/>
      </c>
    </row>
    <row r="669">
      <c r="A669" t="inlineStr">
        <is>
          <t>5600482305973</t>
        </is>
      </c>
      <c r="B669" t="inlineStr">
        <is>
          <t>Rickiparodi Cushioned Nail File Banana - 10 Units</t>
        </is>
      </c>
      <c r="C669" t="inlineStr">
        <is>
          <t>Nail Care Sets</t>
        </is>
      </c>
      <c r="D669" t="inlineStr">
        <is>
          <t>Rciparodi</t>
        </is>
      </c>
      <c r="E669" t="n">
        <v>4.25</v>
      </c>
      <c r="F669" t="n">
        <v>1</v>
      </c>
      <c r="G669" t="n">
        <v>2</v>
      </c>
      <c r="H669" t="inlineStr">
        <is>
          <t>No</t>
        </is>
      </c>
      <c r="I669" t="inlineStr"/>
      <c r="J669" t="n">
        <v>1</v>
      </c>
      <c r="K669" t="n">
        <v>2</v>
      </c>
      <c r="L669" s="5">
        <f>HYPERLINK("https://api.qogita.com/variants/link/5600482305973/", "View Product")</f>
        <v/>
      </c>
    </row>
    <row r="670">
      <c r="A670" t="inlineStr">
        <is>
          <t>5600482305997</t>
        </is>
      </c>
      <c r="B670" t="inlineStr">
        <is>
          <t>Rickiparodi Halfmoon Cushioned Nail File 10 Units</t>
        </is>
      </c>
      <c r="C670" t="inlineStr">
        <is>
          <t>Nail Care Sets</t>
        </is>
      </c>
      <c r="D670" t="inlineStr">
        <is>
          <t>Rciparodi</t>
        </is>
      </c>
      <c r="E670" t="n">
        <v>4.86</v>
      </c>
      <c r="F670" t="n">
        <v>1</v>
      </c>
      <c r="G670" t="n">
        <v>1</v>
      </c>
      <c r="H670" t="inlineStr">
        <is>
          <t>No</t>
        </is>
      </c>
      <c r="I670" t="inlineStr"/>
      <c r="J670" t="n">
        <v>1</v>
      </c>
      <c r="K670" t="n">
        <v>1</v>
      </c>
      <c r="L670" s="5">
        <f>HYPERLINK("https://api.qogita.com/variants/link/5600482305997/", "View Product")</f>
        <v/>
      </c>
    </row>
    <row r="671">
      <c r="A671" t="inlineStr">
        <is>
          <t>5600482306000</t>
        </is>
      </c>
      <c r="B671" t="inlineStr">
        <is>
          <t>RickiParodi Traditional Japanese Fine Nail Files 150/220 - Pack of 10</t>
        </is>
      </c>
      <c r="C671" t="inlineStr">
        <is>
          <t>Nail Care</t>
        </is>
      </c>
      <c r="D671" t="inlineStr">
        <is>
          <t>Ricaparodi</t>
        </is>
      </c>
      <c r="E671" t="n">
        <v>5.02</v>
      </c>
      <c r="F671" t="n">
        <v>1</v>
      </c>
      <c r="G671" t="n">
        <v>2</v>
      </c>
      <c r="H671" t="inlineStr">
        <is>
          <t>No</t>
        </is>
      </c>
      <c r="I671" t="inlineStr"/>
      <c r="J671" t="n">
        <v>1</v>
      </c>
      <c r="K671" t="n">
        <v>2</v>
      </c>
      <c r="L671" s="5">
        <f>HYPERLINK("https://api.qogita.com/variants/link/5600482306000/", "View Product")</f>
        <v/>
      </c>
    </row>
    <row r="672">
      <c r="A672" t="inlineStr">
        <is>
          <t>5600482306291</t>
        </is>
      </c>
      <c r="B672" t="inlineStr">
        <is>
          <t>Rickiparodi Lavender Moisturizing Oil For Cuticles Hands And Feet 15ml</t>
        </is>
      </c>
      <c r="C672" t="inlineStr">
        <is>
          <t>Nail Oil</t>
        </is>
      </c>
      <c r="D672" t="inlineStr">
        <is>
          <t>Rciparodi</t>
        </is>
      </c>
      <c r="E672" t="n">
        <v>2.72</v>
      </c>
      <c r="F672" t="n">
        <v>1</v>
      </c>
      <c r="G672" t="n">
        <v>2</v>
      </c>
      <c r="H672" t="inlineStr">
        <is>
          <t>No</t>
        </is>
      </c>
      <c r="I672" t="inlineStr"/>
      <c r="J672" t="n">
        <v>1</v>
      </c>
      <c r="K672" t="n">
        <v>2</v>
      </c>
      <c r="L672" s="5">
        <f>HYPERLINK("https://api.qogita.com/variants/link/5600482306291/", "View Product")</f>
        <v/>
      </c>
    </row>
    <row r="673">
      <c r="A673" t="inlineStr">
        <is>
          <t>5600493405112</t>
        </is>
      </c>
      <c r="B673" t="inlineStr">
        <is>
          <t>Real Natura Cuticle Remover Gel 200ml</t>
        </is>
      </c>
      <c r="C673" t="inlineStr">
        <is>
          <t>Cuticle Removers</t>
        </is>
      </c>
      <c r="D673" t="inlineStr">
        <is>
          <t>Real Natura</t>
        </is>
      </c>
      <c r="E673" t="n">
        <v>5.61</v>
      </c>
      <c r="F673" t="n">
        <v>1</v>
      </c>
      <c r="G673" t="n">
        <v>1</v>
      </c>
      <c r="H673" t="inlineStr">
        <is>
          <t>No</t>
        </is>
      </c>
      <c r="I673" t="inlineStr"/>
      <c r="J673" t="n">
        <v>1</v>
      </c>
      <c r="K673" t="n">
        <v>1</v>
      </c>
      <c r="L673" s="5">
        <f>HYPERLINK("https://api.qogita.com/variants/link/5600493405112/", "View Product")</f>
        <v/>
      </c>
    </row>
    <row r="674">
      <c r="A674" t="inlineStr">
        <is>
          <t>5603927873167</t>
        </is>
      </c>
      <c r="B674" t="inlineStr">
        <is>
          <t>Andreia Professional Cuticle Oil LAB Nail Treatments for Weak and Damaged Nails Non-Greasy Formula Scented with Coconut Oil 10.5ml</t>
        </is>
      </c>
      <c r="C674" t="inlineStr">
        <is>
          <t>Nail Oil</t>
        </is>
      </c>
      <c r="D674" t="inlineStr">
        <is>
          <t>Andreia</t>
        </is>
      </c>
      <c r="E674" t="n">
        <v>2.05</v>
      </c>
      <c r="F674" t="n">
        <v>1</v>
      </c>
      <c r="G674" t="n">
        <v>1</v>
      </c>
      <c r="H674" t="inlineStr">
        <is>
          <t>No</t>
        </is>
      </c>
      <c r="I674" t="inlineStr"/>
      <c r="J674" t="n">
        <v>1</v>
      </c>
      <c r="K674" t="n">
        <v>1</v>
      </c>
      <c r="L674" s="5">
        <f>HYPERLINK("https://api.qogita.com/variants/link/5603927873167/", "View Product")</f>
        <v/>
      </c>
    </row>
    <row r="675">
      <c r="A675" t="inlineStr">
        <is>
          <t>5603927895381</t>
        </is>
      </c>
      <c r="B675" t="inlineStr">
        <is>
          <t>Andreia Precision Cuticle Nipper 5mm Stainless Steel</t>
        </is>
      </c>
      <c r="C675" t="inlineStr">
        <is>
          <t>Cuticle Removers</t>
        </is>
      </c>
      <c r="D675" t="inlineStr">
        <is>
          <t>Andreia</t>
        </is>
      </c>
      <c r="E675" t="n">
        <v>10.39</v>
      </c>
      <c r="F675" t="n">
        <v>1</v>
      </c>
      <c r="G675" t="n">
        <v>1</v>
      </c>
      <c r="H675" t="inlineStr">
        <is>
          <t>No</t>
        </is>
      </c>
      <c r="I675" t="inlineStr"/>
      <c r="J675" t="n">
        <v>1</v>
      </c>
      <c r="K675" t="n">
        <v>1</v>
      </c>
      <c r="L675" s="5">
        <f>HYPERLINK("https://api.qogita.com/variants/link/5603927895381/", "View Product")</f>
        <v/>
      </c>
    </row>
    <row r="676">
      <c r="A676" t="inlineStr">
        <is>
          <t>5901761956610</t>
        </is>
      </c>
      <c r="B676" t="inlineStr">
        <is>
          <t>Eveline Nail Therapy Anti-Fungal Nail Treatment 12ml</t>
        </is>
      </c>
      <c r="C676" t="inlineStr">
        <is>
          <t>Nail Oil</t>
        </is>
      </c>
      <c r="D676" t="inlineStr">
        <is>
          <t>Eveline</t>
        </is>
      </c>
      <c r="E676" t="n">
        <v>3.23</v>
      </c>
      <c r="F676" t="n">
        <v>1</v>
      </c>
      <c r="G676" t="n">
        <v>4</v>
      </c>
      <c r="H676" t="inlineStr">
        <is>
          <t>No</t>
        </is>
      </c>
      <c r="I676" t="inlineStr"/>
      <c r="J676" t="n">
        <v>1</v>
      </c>
      <c r="K676" t="n">
        <v>4</v>
      </c>
      <c r="L676" s="5">
        <f>HYPERLINK("https://api.qogita.com/variants/link/5901761956610/", "View Product")</f>
        <v/>
      </c>
    </row>
    <row r="677">
      <c r="A677" t="inlineStr">
        <is>
          <t>7618900901049</t>
        </is>
      </c>
      <c r="B677" t="inlineStr">
        <is>
          <t>Mavala Mavaderma Nail Strengthener Oil 10ml</t>
        </is>
      </c>
      <c r="C677" t="inlineStr">
        <is>
          <t>Nail Oil</t>
        </is>
      </c>
      <c r="D677" t="inlineStr">
        <is>
          <t>Mavala</t>
        </is>
      </c>
      <c r="E677" t="n">
        <v>10.63</v>
      </c>
      <c r="F677" t="n">
        <v>1</v>
      </c>
      <c r="G677" t="n">
        <v>2</v>
      </c>
      <c r="H677" t="inlineStr">
        <is>
          <t>No</t>
        </is>
      </c>
      <c r="I677" t="inlineStr"/>
      <c r="J677" t="n">
        <v>2</v>
      </c>
      <c r="K677" t="n">
        <v>4</v>
      </c>
      <c r="L677" s="5">
        <f>HYPERLINK("https://api.qogita.com/variants/link/7618900901049/", "View Product")</f>
        <v/>
      </c>
    </row>
    <row r="678">
      <c r="A678" t="inlineStr">
        <is>
          <t>7618900914087</t>
        </is>
      </c>
      <c r="B678" t="inlineStr">
        <is>
          <t>Mavala Cuticle Cream 15ml</t>
        </is>
      </c>
      <c r="C678" t="inlineStr">
        <is>
          <t>Cuticle Removers</t>
        </is>
      </c>
      <c r="D678" t="inlineStr">
        <is>
          <t>Mavala</t>
        </is>
      </c>
      <c r="E678" t="n">
        <v>9.31</v>
      </c>
      <c r="F678" t="n">
        <v>1</v>
      </c>
      <c r="G678" t="n">
        <v>4</v>
      </c>
      <c r="H678" t="inlineStr">
        <is>
          <t>No</t>
        </is>
      </c>
      <c r="I678" t="inlineStr"/>
      <c r="J678" t="n">
        <v>1</v>
      </c>
      <c r="K678" t="n">
        <v>4</v>
      </c>
      <c r="L678" s="5">
        <f>HYPERLINK("https://api.qogita.com/variants/link/7618900914087/", "View Product")</f>
        <v/>
      </c>
    </row>
    <row r="679">
      <c r="A679" t="inlineStr">
        <is>
          <t>7618900918085</t>
        </is>
      </c>
      <c r="B679" t="inlineStr">
        <is>
          <t>MAVALA Nail Treatment Gel Mavadry 10ml</t>
        </is>
      </c>
      <c r="C679" t="inlineStr">
        <is>
          <t>Nail Care Sets</t>
        </is>
      </c>
      <c r="D679" t="inlineStr">
        <is>
          <t>Mavala</t>
        </is>
      </c>
      <c r="E679" t="n">
        <v>10.51</v>
      </c>
      <c r="F679" t="n">
        <v>1</v>
      </c>
      <c r="G679" t="n">
        <v>2</v>
      </c>
      <c r="H679" t="inlineStr">
        <is>
          <t>No</t>
        </is>
      </c>
      <c r="I679" t="inlineStr"/>
      <c r="J679" t="n">
        <v>1</v>
      </c>
      <c r="K679" t="n">
        <v>2</v>
      </c>
      <c r="L679" s="5">
        <f>HYPERLINK("https://api.qogita.com/variants/link/7618900918085/", "View Product")</f>
        <v/>
      </c>
    </row>
    <row r="680">
      <c r="A680" t="inlineStr">
        <is>
          <t>7891060679724</t>
        </is>
      </c>
      <c r="B680" t="inlineStr">
        <is>
          <t>Mundial Classic Cuticle Nipper 522 Essential Tool For Nail Care</t>
        </is>
      </c>
      <c r="C680" t="inlineStr">
        <is>
          <t>Nail Clippers &amp; Tools</t>
        </is>
      </c>
      <c r="D680" t="inlineStr">
        <is>
          <t>Mundial</t>
        </is>
      </c>
      <c r="E680" t="n">
        <v>7.47</v>
      </c>
      <c r="F680" t="n">
        <v>1</v>
      </c>
      <c r="G680" t="n">
        <v>2</v>
      </c>
      <c r="H680" t="inlineStr">
        <is>
          <t>No</t>
        </is>
      </c>
      <c r="I680" t="inlineStr"/>
      <c r="J680" t="n">
        <v>1</v>
      </c>
      <c r="K680" t="n">
        <v>2</v>
      </c>
      <c r="L680" s="5">
        <f>HYPERLINK("https://api.qogita.com/variants/link/7891060679724/", "View Product")</f>
        <v/>
      </c>
    </row>
    <row r="681">
      <c r="A681" t="inlineStr">
        <is>
          <t>7891060773200</t>
        </is>
      </c>
      <c r="B681" t="inlineStr">
        <is>
          <t>Mundial Professional Cuticle Nipper 772</t>
        </is>
      </c>
      <c r="C681" t="inlineStr">
        <is>
          <t>Cuticle Removers</t>
        </is>
      </c>
      <c r="D681" t="inlineStr">
        <is>
          <t>Mundial</t>
        </is>
      </c>
      <c r="E681" t="n">
        <v>11.18</v>
      </c>
      <c r="F681" t="n">
        <v>1</v>
      </c>
      <c r="G681" t="n">
        <v>2</v>
      </c>
      <c r="H681" t="inlineStr">
        <is>
          <t>No</t>
        </is>
      </c>
      <c r="I681" t="inlineStr"/>
      <c r="J681" t="n">
        <v>1</v>
      </c>
      <c r="K681" t="n">
        <v>2</v>
      </c>
      <c r="L681" s="5">
        <f>HYPERLINK("https://api.qogita.com/variants/link/7891060773200/", "View Product")</f>
        <v/>
      </c>
    </row>
    <row r="682">
      <c r="A682" t="inlineStr">
        <is>
          <t>7891060800401</t>
        </is>
      </c>
      <c r="B682" t="inlineStr">
        <is>
          <t>Mundial Professional Cuticle Nipper 722</t>
        </is>
      </c>
      <c r="C682" t="inlineStr">
        <is>
          <t>Cuticle Removers</t>
        </is>
      </c>
      <c r="D682" t="inlineStr">
        <is>
          <t>Mundial</t>
        </is>
      </c>
      <c r="E682" t="n">
        <v>10.67</v>
      </c>
      <c r="F682" t="n">
        <v>1</v>
      </c>
      <c r="G682" t="n">
        <v>1</v>
      </c>
      <c r="H682" t="inlineStr">
        <is>
          <t>No</t>
        </is>
      </c>
      <c r="I682" t="inlineStr"/>
      <c r="J682" t="n">
        <v>1</v>
      </c>
      <c r="K682" t="n">
        <v>1</v>
      </c>
      <c r="L682" s="5">
        <f>HYPERLINK("https://api.qogita.com/variants/link/7891060800401/", "View Product")</f>
        <v/>
      </c>
    </row>
    <row r="683">
      <c r="A683" t="inlineStr">
        <is>
          <t>7891060807530</t>
        </is>
      </c>
      <c r="B683" t="inlineStr">
        <is>
          <t>Mundial Professional Nail Clipper 776pr</t>
        </is>
      </c>
      <c r="C683" t="inlineStr">
        <is>
          <t>Nail Clippers &amp; Tools</t>
        </is>
      </c>
      <c r="D683" t="inlineStr">
        <is>
          <t>Mundial</t>
        </is>
      </c>
      <c r="E683" t="n">
        <v>20.76</v>
      </c>
      <c r="F683" t="n">
        <v>1</v>
      </c>
      <c r="G683" t="n">
        <v>1</v>
      </c>
      <c r="H683" t="inlineStr">
        <is>
          <t>No</t>
        </is>
      </c>
      <c r="I683" t="inlineStr"/>
      <c r="J683" t="n">
        <v>1</v>
      </c>
      <c r="K683" t="n">
        <v>1</v>
      </c>
      <c r="L683" s="5">
        <f>HYPERLINK("https://api.qogita.com/variants/link/7891060807530/", "View Product")</f>
        <v/>
      </c>
    </row>
    <row r="684">
      <c r="A684" t="inlineStr">
        <is>
          <t>7891060906066</t>
        </is>
      </c>
      <c r="B684" t="inlineStr">
        <is>
          <t>Mundial Cuticle Nipper Fragrance 170-Fr</t>
        </is>
      </c>
      <c r="C684" t="inlineStr">
        <is>
          <t>Cuticle Removers</t>
        </is>
      </c>
      <c r="D684" t="inlineStr">
        <is>
          <t>Mundial</t>
        </is>
      </c>
      <c r="E684" t="n">
        <v>3.51</v>
      </c>
      <c r="F684" t="n">
        <v>1</v>
      </c>
      <c r="G684" t="n">
        <v>1</v>
      </c>
      <c r="H684" t="inlineStr">
        <is>
          <t>No</t>
        </is>
      </c>
      <c r="I684" t="inlineStr"/>
      <c r="J684" t="n">
        <v>1</v>
      </c>
      <c r="K684" t="n">
        <v>1</v>
      </c>
      <c r="L684" s="5">
        <f>HYPERLINK("https://api.qogita.com/variants/link/7891060906066/", "View Product")</f>
        <v/>
      </c>
    </row>
    <row r="685">
      <c r="A685" t="inlineStr">
        <is>
          <t>7891060969504</t>
        </is>
      </c>
      <c r="B685" t="inlineStr">
        <is>
          <t>Mundial Professional Cuticle Nipper 777</t>
        </is>
      </c>
      <c r="C685" t="inlineStr">
        <is>
          <t>Cuticle Removers</t>
        </is>
      </c>
      <c r="D685" t="inlineStr">
        <is>
          <t>Mundial</t>
        </is>
      </c>
      <c r="E685" t="n">
        <v>8.33</v>
      </c>
      <c r="F685" t="n">
        <v>1</v>
      </c>
      <c r="G685" t="n">
        <v>2</v>
      </c>
      <c r="H685" t="inlineStr">
        <is>
          <t>No</t>
        </is>
      </c>
      <c r="I685" t="inlineStr"/>
      <c r="J685" t="n">
        <v>1</v>
      </c>
      <c r="K685" t="n">
        <v>2</v>
      </c>
      <c r="L685" s="5">
        <f>HYPERLINK("https://api.qogita.com/variants/link/7891060969504/", "View Product")</f>
        <v/>
      </c>
    </row>
    <row r="686">
      <c r="A686" t="inlineStr">
        <is>
          <t>7891060996708</t>
        </is>
      </c>
      <c r="B686" t="inlineStr">
        <is>
          <t>Mundial Cuticle Nipper With Double Spatula Professional 778e</t>
        </is>
      </c>
      <c r="C686" t="inlineStr">
        <is>
          <t>Nail Clippers &amp; Tools</t>
        </is>
      </c>
      <c r="D686" t="inlineStr">
        <is>
          <t>Mundial</t>
        </is>
      </c>
      <c r="E686" t="n">
        <v>11.85</v>
      </c>
      <c r="F686" t="n">
        <v>1</v>
      </c>
      <c r="G686" t="n">
        <v>1</v>
      </c>
      <c r="H686" t="inlineStr">
        <is>
          <t>No</t>
        </is>
      </c>
      <c r="I686" t="inlineStr"/>
      <c r="J686" t="n">
        <v>1</v>
      </c>
      <c r="K686" t="n">
        <v>1</v>
      </c>
      <c r="L686" s="5">
        <f>HYPERLINK("https://api.qogita.com/variants/link/7891060996708/", "View Product")</f>
        <v/>
      </c>
    </row>
    <row r="687">
      <c r="A687" t="inlineStr">
        <is>
          <t>7891060996753</t>
        </is>
      </c>
      <c r="B687" t="inlineStr">
        <is>
          <t>Mundial Cuticle Nipper With Spatula And Stick Professional 778ep For Men</t>
        </is>
      </c>
      <c r="C687" t="inlineStr">
        <is>
          <t>Cuticle Removers</t>
        </is>
      </c>
      <c r="D687" t="inlineStr">
        <is>
          <t>Mundial</t>
        </is>
      </c>
      <c r="E687" t="n">
        <v>12.71</v>
      </c>
      <c r="F687" t="n">
        <v>1</v>
      </c>
      <c r="G687" t="n">
        <v>2</v>
      </c>
      <c r="H687" t="inlineStr">
        <is>
          <t>No</t>
        </is>
      </c>
      <c r="I687" t="inlineStr"/>
      <c r="J687" t="n">
        <v>1</v>
      </c>
      <c r="K687" t="n">
        <v>2</v>
      </c>
      <c r="L687" s="5">
        <f>HYPERLINK("https://api.qogita.com/variants/link/7891060996753/", "View Product")</f>
        <v/>
      </c>
    </row>
    <row r="688">
      <c r="A688" t="inlineStr">
        <is>
          <t>7898132987787</t>
        </is>
      </c>
      <c r="B688" t="inlineStr">
        <is>
          <t>Bio Extratus Brilho Acidificante Cuticle Sealer 100ml</t>
        </is>
      </c>
      <c r="C688" t="inlineStr">
        <is>
          <t>Cuticle Removers</t>
        </is>
      </c>
      <c r="D688" t="inlineStr">
        <is>
          <t>Bio Extratus</t>
        </is>
      </c>
      <c r="E688" t="n">
        <v>7.69</v>
      </c>
      <c r="F688" t="n">
        <v>1</v>
      </c>
      <c r="G688" t="n">
        <v>3</v>
      </c>
      <c r="H688" t="inlineStr">
        <is>
          <t>No</t>
        </is>
      </c>
      <c r="I688" t="inlineStr"/>
      <c r="J688" t="n">
        <v>1</v>
      </c>
      <c r="K688" t="n">
        <v>3</v>
      </c>
      <c r="L688" s="5">
        <f>HYPERLINK("https://api.qogita.com/variants/link/7898132987787/", "View Product")</f>
        <v/>
      </c>
    </row>
    <row r="689">
      <c r="A689" t="inlineStr">
        <is>
          <t>8032274063384</t>
        </is>
      </c>
      <c r="B689" t="inlineStr">
        <is>
          <t>Simply Zen Age Benefit Moisturizing Cuticle Rede</t>
        </is>
      </c>
      <c r="C689" t="inlineStr">
        <is>
          <t>Cuticle Removers</t>
        </is>
      </c>
      <c r="D689" t="inlineStr">
        <is>
          <t>Simply Zen</t>
        </is>
      </c>
      <c r="E689" t="n">
        <v>14.36</v>
      </c>
      <c r="F689" t="n">
        <v>1</v>
      </c>
      <c r="G689" t="n">
        <v>1</v>
      </c>
      <c r="H689" t="inlineStr">
        <is>
          <t>No</t>
        </is>
      </c>
      <c r="I689" t="inlineStr"/>
      <c r="J689" t="n">
        <v>1</v>
      </c>
      <c r="K689" t="n">
        <v>1</v>
      </c>
      <c r="L689" s="5">
        <f>HYPERLINK("https://api.qogita.com/variants/link/8032274063384/", "View Product")</f>
        <v/>
      </c>
    </row>
    <row r="690">
      <c r="A690" t="inlineStr">
        <is>
          <t>8032986125219</t>
        </is>
      </c>
      <c r="B690" t="inlineStr">
        <is>
          <t>Rickiparodi Nail Clipper 10cm</t>
        </is>
      </c>
      <c r="C690" t="inlineStr">
        <is>
          <t>Nail Clippers &amp; Tools</t>
        </is>
      </c>
      <c r="D690" t="inlineStr">
        <is>
          <t>Rciparodi</t>
        </is>
      </c>
      <c r="E690" t="n">
        <v>4.76</v>
      </c>
      <c r="F690" t="n">
        <v>1</v>
      </c>
      <c r="G690" t="n">
        <v>2</v>
      </c>
      <c r="H690" t="inlineStr">
        <is>
          <t>No</t>
        </is>
      </c>
      <c r="I690" t="inlineStr"/>
      <c r="J690" t="n">
        <v>1</v>
      </c>
      <c r="K690" t="n">
        <v>2</v>
      </c>
      <c r="L690" s="5">
        <f>HYPERLINK("https://api.qogita.com/variants/link/8032986125219/", "View Product")</f>
        <v/>
      </c>
    </row>
    <row r="691">
      <c r="A691" t="inlineStr">
        <is>
          <t>8032986125240</t>
        </is>
      </c>
      <c r="B691" t="inlineStr">
        <is>
          <t>Rickiparodi Nail Clipper 12cm</t>
        </is>
      </c>
      <c r="C691" t="inlineStr">
        <is>
          <t>Nail Clippers &amp; Tools</t>
        </is>
      </c>
      <c r="D691" t="inlineStr">
        <is>
          <t>Rciparodi</t>
        </is>
      </c>
      <c r="E691" t="n">
        <v>6.58</v>
      </c>
      <c r="F691" t="n">
        <v>1</v>
      </c>
      <c r="G691" t="n">
        <v>1</v>
      </c>
      <c r="H691" t="inlineStr">
        <is>
          <t>No</t>
        </is>
      </c>
      <c r="I691" t="inlineStr"/>
      <c r="J691" t="n">
        <v>1</v>
      </c>
      <c r="K691" t="n">
        <v>1</v>
      </c>
      <c r="L691" s="5">
        <f>HYPERLINK("https://api.qogita.com/variants/link/8032986125240/", "View Product")</f>
        <v/>
      </c>
    </row>
    <row r="692">
      <c r="A692" t="inlineStr">
        <is>
          <t>8032986125899</t>
        </is>
      </c>
      <c r="B692" t="inlineStr">
        <is>
          <t>Rickiparodi Cuticle Nipper 5mm - Perfect For Precise Cuticle Care</t>
        </is>
      </c>
      <c r="C692" t="inlineStr">
        <is>
          <t>Cuticle Removers</t>
        </is>
      </c>
      <c r="D692" t="inlineStr">
        <is>
          <t>Rciparodi</t>
        </is>
      </c>
      <c r="E692" t="n">
        <v>4.69</v>
      </c>
      <c r="F692" t="n">
        <v>1</v>
      </c>
      <c r="G692" t="n">
        <v>2</v>
      </c>
      <c r="H692" t="inlineStr">
        <is>
          <t>No</t>
        </is>
      </c>
      <c r="I692" t="inlineStr"/>
      <c r="J692" t="n">
        <v>1</v>
      </c>
      <c r="K692" t="n">
        <v>2</v>
      </c>
      <c r="L692" s="5">
        <f>HYPERLINK("https://api.qogita.com/variants/link/8032986125899/", "View Product")</f>
        <v/>
      </c>
    </row>
    <row r="693">
      <c r="A693" t="inlineStr">
        <is>
          <t>8032986125905</t>
        </is>
      </c>
      <c r="B693" t="inlineStr">
        <is>
          <t>Rickiparodi Cuticle Nipper 7mm - Perfect For Precise Cuticle Care</t>
        </is>
      </c>
      <c r="C693" t="inlineStr">
        <is>
          <t>Cuticle Removers</t>
        </is>
      </c>
      <c r="D693" t="inlineStr">
        <is>
          <t>Rciparodi</t>
        </is>
      </c>
      <c r="E693" t="n">
        <v>4.72</v>
      </c>
      <c r="F693" t="n">
        <v>1</v>
      </c>
      <c r="G693" t="n">
        <v>2</v>
      </c>
      <c r="H693" t="inlineStr">
        <is>
          <t>No</t>
        </is>
      </c>
      <c r="I693" t="inlineStr"/>
      <c r="J693" t="n">
        <v>1</v>
      </c>
      <c r="K693" t="n">
        <v>2</v>
      </c>
      <c r="L693" s="5">
        <f>HYPERLINK("https://api.qogita.com/variants/link/8032986125905/", "View Product")</f>
        <v/>
      </c>
    </row>
    <row r="694">
      <c r="A694" t="inlineStr">
        <is>
          <t>8412122640514</t>
        </is>
      </c>
      <c r="B694" t="inlineStr">
        <is>
          <t>Beter Elite Double Glass Fiber Nail File 180220 Size 1 Unit</t>
        </is>
      </c>
      <c r="C694" t="inlineStr">
        <is>
          <t>Nail Care</t>
        </is>
      </c>
      <c r="D694" t="inlineStr">
        <is>
          <t>Beter</t>
        </is>
      </c>
      <c r="E694" t="n">
        <v>0.58</v>
      </c>
      <c r="F694" t="n">
        <v>1</v>
      </c>
      <c r="G694" t="n">
        <v>41</v>
      </c>
      <c r="H694" t="inlineStr">
        <is>
          <t>No</t>
        </is>
      </c>
      <c r="I694" t="inlineStr"/>
      <c r="J694" t="n">
        <v>2</v>
      </c>
      <c r="K694" t="n">
        <v>44</v>
      </c>
      <c r="L694" s="5">
        <f>HYPERLINK("https://api.qogita.com/variants/link/8412122640514/", "View Product")</f>
        <v/>
      </c>
    </row>
    <row r="695">
      <c r="A695" t="inlineStr">
        <is>
          <t>8412122640521</t>
        </is>
      </c>
      <c r="B695" t="inlineStr">
        <is>
          <t>Beter Elite Extra Fast Nail Buffer Size 1 Unit</t>
        </is>
      </c>
      <c r="C695" t="inlineStr">
        <is>
          <t>Nail Clippers &amp; Tools</t>
        </is>
      </c>
      <c r="D695" t="inlineStr">
        <is>
          <t>Beter</t>
        </is>
      </c>
      <c r="E695" t="n">
        <v>0.75</v>
      </c>
      <c r="F695" t="n">
        <v>1</v>
      </c>
      <c r="G695" t="n">
        <v>27</v>
      </c>
      <c r="H695" t="inlineStr">
        <is>
          <t>No</t>
        </is>
      </c>
      <c r="I695" t="inlineStr"/>
      <c r="J695" t="n">
        <v>2</v>
      </c>
      <c r="K695" t="n">
        <v>29</v>
      </c>
      <c r="L695" s="5">
        <f>HYPERLINK("https://api.qogita.com/variants/link/8412122640521/", "View Product")</f>
        <v/>
      </c>
    </row>
    <row r="696">
      <c r="A696" t="inlineStr">
        <is>
          <t>8412122640583</t>
        </is>
      </c>
      <c r="B696" t="inlineStr">
        <is>
          <t>Beter Elite Nail Scissors Size 1 Unit</t>
        </is>
      </c>
      <c r="C696" t="inlineStr">
        <is>
          <t>Nail Clippers &amp; Tools</t>
        </is>
      </c>
      <c r="D696" t="inlineStr">
        <is>
          <t>Beter</t>
        </is>
      </c>
      <c r="E696" t="n">
        <v>5</v>
      </c>
      <c r="F696" t="n">
        <v>1</v>
      </c>
      <c r="G696" t="n">
        <v>30</v>
      </c>
      <c r="H696" t="inlineStr">
        <is>
          <t>No</t>
        </is>
      </c>
      <c r="I696" t="inlineStr"/>
      <c r="J696" t="n">
        <v>2</v>
      </c>
      <c r="K696" t="n">
        <v>31</v>
      </c>
      <c r="L696" s="5">
        <f>HYPERLINK("https://api.qogita.com/variants/link/8412122640583/", "View Product")</f>
        <v/>
      </c>
    </row>
    <row r="697">
      <c r="A697" t="inlineStr">
        <is>
          <t>8429420263659</t>
        </is>
      </c>
      <c r="B697" t="inlineStr">
        <is>
          <t>Isdin Si-Nails Micoxpert Md Fungal Nail Treatment</t>
        </is>
      </c>
      <c r="C697" t="inlineStr">
        <is>
          <t>Nail Care</t>
        </is>
      </c>
      <c r="D697" t="inlineStr">
        <is>
          <t>ISDIN</t>
        </is>
      </c>
      <c r="E697" t="n">
        <v>21.59</v>
      </c>
      <c r="F697" t="n">
        <v>1</v>
      </c>
      <c r="G697" t="n">
        <v>3</v>
      </c>
      <c r="H697" t="inlineStr">
        <is>
          <t>No</t>
        </is>
      </c>
      <c r="I697" t="inlineStr"/>
      <c r="J697" t="n">
        <v>1</v>
      </c>
      <c r="K697" t="n">
        <v>3</v>
      </c>
      <c r="L697" s="5">
        <f>HYPERLINK("https://api.qogita.com/variants/link/8429420263659/", "View Product")</f>
        <v/>
      </c>
    </row>
    <row r="698">
      <c r="A698" t="inlineStr">
        <is>
          <t>8436609390471</t>
        </is>
      </c>
      <c r="B698" t="inlineStr">
        <is>
          <t>Magic Studio Colorful Manicure Set</t>
        </is>
      </c>
      <c r="C698" t="inlineStr">
        <is>
          <t>Manicure Sets</t>
        </is>
      </c>
      <c r="D698" t="inlineStr">
        <is>
          <t>Magic Studio</t>
        </is>
      </c>
      <c r="E698" t="n">
        <v>4.57</v>
      </c>
      <c r="F698" t="n">
        <v>1</v>
      </c>
      <c r="G698" t="n">
        <v>3</v>
      </c>
      <c r="H698" t="inlineStr">
        <is>
          <t>No</t>
        </is>
      </c>
      <c r="I698" t="inlineStr"/>
      <c r="J698" t="n">
        <v>1</v>
      </c>
      <c r="K698" t="n">
        <v>3</v>
      </c>
      <c r="L698" s="5">
        <f>HYPERLINK("https://api.qogita.com/variants/link/8436609390471/", "View Product")</f>
        <v/>
      </c>
    </row>
    <row r="699">
      <c r="A699" t="inlineStr">
        <is>
          <t>8436609390945</t>
        </is>
      </c>
      <c r="B699" t="inlineStr">
        <is>
          <t>Magic Studio Diamond Collection Manicure Set</t>
        </is>
      </c>
      <c r="C699" t="inlineStr">
        <is>
          <t>Manicure Sets</t>
        </is>
      </c>
      <c r="D699" t="inlineStr">
        <is>
          <t>Magic Studio</t>
        </is>
      </c>
      <c r="E699" t="n">
        <v>1.41</v>
      </c>
      <c r="F699" t="n">
        <v>1</v>
      </c>
      <c r="G699" t="n">
        <v>7</v>
      </c>
      <c r="H699" t="inlineStr">
        <is>
          <t>No</t>
        </is>
      </c>
      <c r="I699" t="inlineStr"/>
      <c r="J699" t="n">
        <v>1</v>
      </c>
      <c r="K699" t="n">
        <v>7</v>
      </c>
      <c r="L699" s="5">
        <f>HYPERLINK("https://api.qogita.com/variants/link/8436609390945/", "View Product")</f>
        <v/>
      </c>
    </row>
    <row r="700">
      <c r="A700" t="inlineStr">
        <is>
          <t>0000030076808</t>
        </is>
      </c>
      <c r="B700" t="inlineStr">
        <is>
          <t>La Roche Posay Nail Treatment Silicium 6ml</t>
        </is>
      </c>
      <c r="C700" t="inlineStr">
        <is>
          <t>Nail Oil</t>
        </is>
      </c>
      <c r="D700" t="inlineStr">
        <is>
          <t>La Roche-Posay</t>
        </is>
      </c>
      <c r="E700" t="n">
        <v>7.71</v>
      </c>
      <c r="F700" t="n">
        <v>1</v>
      </c>
      <c r="G700" t="n">
        <v>100</v>
      </c>
      <c r="H700" t="inlineStr">
        <is>
          <t>No</t>
        </is>
      </c>
      <c r="I700" t="inlineStr"/>
      <c r="J700" t="n">
        <v>1</v>
      </c>
      <c r="K700" t="n">
        <v>100</v>
      </c>
      <c r="L700" s="5">
        <f>HYPERLINK("https://api.qogita.com/variants/link/0000030076808/", "View Product")</f>
        <v/>
      </c>
    </row>
    <row r="701">
      <c r="A701" t="inlineStr">
        <is>
          <t>0309971665066</t>
        </is>
      </c>
      <c r="B701" t="inlineStr">
        <is>
          <t>Cutex Intense Recovery</t>
        </is>
      </c>
      <c r="C701" t="inlineStr">
        <is>
          <t>Cuticle Removers</t>
        </is>
      </c>
      <c r="D701" t="inlineStr">
        <is>
          <t>Cutex</t>
        </is>
      </c>
      <c r="E701" t="n">
        <v>3.69</v>
      </c>
      <c r="F701" t="n">
        <v>1</v>
      </c>
      <c r="G701" t="n">
        <v>97</v>
      </c>
      <c r="H701" t="inlineStr">
        <is>
          <t>No</t>
        </is>
      </c>
      <c r="I701" t="inlineStr"/>
      <c r="J701" t="n">
        <v>1</v>
      </c>
      <c r="K701" t="n">
        <v>97</v>
      </c>
      <c r="L701" s="5">
        <f>HYPERLINK("https://api.qogita.com/variants/link/0309971665066/", "View Product")</f>
        <v/>
      </c>
    </row>
    <row r="702">
      <c r="A702" t="inlineStr">
        <is>
          <t>8059142005499</t>
        </is>
      </c>
      <c r="B702" t="inlineStr">
        <is>
          <t>IPAM Professional Nail Clipper 12cm</t>
        </is>
      </c>
      <c r="C702" t="inlineStr">
        <is>
          <t>Nail Clippers &amp; Tools</t>
        </is>
      </c>
      <c r="D702" t="inlineStr">
        <is>
          <t>Ipam</t>
        </is>
      </c>
      <c r="E702" t="n">
        <v>5.97</v>
      </c>
      <c r="F702" t="n">
        <v>6</v>
      </c>
      <c r="G702" t="n">
        <v>6</v>
      </c>
      <c r="H702" t="inlineStr">
        <is>
          <t>No</t>
        </is>
      </c>
      <c r="I702" t="inlineStr"/>
      <c r="J702" t="n">
        <v>1</v>
      </c>
      <c r="K702" t="n">
        <v>6</v>
      </c>
      <c r="L702" s="5">
        <f>HYPERLINK("https://api.qogita.com/variants/link/8059142005499/", "View Product")</f>
        <v/>
      </c>
    </row>
    <row r="703">
      <c r="A703" t="inlineStr">
        <is>
          <t>8059142008032</t>
        </is>
      </c>
      <c r="B703" t="inlineStr">
        <is>
          <t>Ipam Aa0803 Nail Clipper</t>
        </is>
      </c>
      <c r="C703" t="inlineStr">
        <is>
          <t>Nail Clippers &amp; Tools</t>
        </is>
      </c>
      <c r="D703" t="inlineStr">
        <is>
          <t>Ipam</t>
        </is>
      </c>
      <c r="E703" t="n">
        <v>1.17</v>
      </c>
      <c r="F703" t="n">
        <v>12</v>
      </c>
      <c r="G703" t="n">
        <v>96</v>
      </c>
      <c r="H703" t="inlineStr">
        <is>
          <t>No</t>
        </is>
      </c>
      <c r="I703" t="inlineStr"/>
      <c r="J703" t="n">
        <v>1</v>
      </c>
      <c r="K703" t="n">
        <v>96</v>
      </c>
      <c r="L703" s="5">
        <f>HYPERLINK("https://api.qogita.com/variants/link/8059142008032/", "View Product")</f>
        <v/>
      </c>
    </row>
    <row r="704">
      <c r="A704" t="inlineStr">
        <is>
          <t>8059142008063</t>
        </is>
      </c>
      <c r="B704" t="inlineStr">
        <is>
          <t>IPAM Foot Nail Cutter AA0806</t>
        </is>
      </c>
      <c r="C704" t="inlineStr">
        <is>
          <t>Nail Clippers &amp; Tools</t>
        </is>
      </c>
      <c r="D704" t="inlineStr">
        <is>
          <t>Ipam</t>
        </is>
      </c>
      <c r="E704" t="n">
        <v>1.53</v>
      </c>
      <c r="F704" t="n">
        <v>12</v>
      </c>
      <c r="G704" t="n">
        <v>36</v>
      </c>
      <c r="H704" t="inlineStr">
        <is>
          <t>No</t>
        </is>
      </c>
      <c r="I704" t="inlineStr"/>
      <c r="J704" t="n">
        <v>1</v>
      </c>
      <c r="K704" t="n">
        <v>36</v>
      </c>
      <c r="L704" s="5">
        <f>HYPERLINK("https://api.qogita.com/variants/link/8059142008063/", "View Product")</f>
        <v/>
      </c>
    </row>
    <row r="705">
      <c r="A705" t="inlineStr">
        <is>
          <t>8059142009701</t>
        </is>
      </c>
      <c r="B705" t="inlineStr">
        <is>
          <t>IPAM Lima Retta Nail File 17.5cm Mono Grit</t>
        </is>
      </c>
      <c r="C705" t="inlineStr">
        <is>
          <t>Nail Care</t>
        </is>
      </c>
      <c r="D705" t="inlineStr">
        <is>
          <t>Ipam</t>
        </is>
      </c>
      <c r="E705" t="n">
        <v>0.78</v>
      </c>
      <c r="F705" t="n">
        <v>12</v>
      </c>
      <c r="G705" t="n">
        <v>36</v>
      </c>
      <c r="H705" t="inlineStr">
        <is>
          <t>No</t>
        </is>
      </c>
      <c r="I705" t="inlineStr"/>
      <c r="J705" t="n">
        <v>1</v>
      </c>
      <c r="K705" t="n">
        <v>36</v>
      </c>
      <c r="L705" s="5">
        <f>HYPERLINK("https://api.qogita.com/variants/link/8059142009701/", "View Product")</f>
        <v/>
      </c>
    </row>
    <row r="706">
      <c r="A706" t="inlineStr">
        <is>
          <t>8059142012183</t>
        </is>
      </c>
      <c r="B706" t="inlineStr">
        <is>
          <t>Ipam Aa1218 Double Nail Brush</t>
        </is>
      </c>
      <c r="C706" t="inlineStr">
        <is>
          <t>Nail Care</t>
        </is>
      </c>
      <c r="D706" t="inlineStr">
        <is>
          <t>Ipam</t>
        </is>
      </c>
      <c r="E706" t="n">
        <v>1.13</v>
      </c>
      <c r="F706" t="n">
        <v>12</v>
      </c>
      <c r="G706" t="n">
        <v>60</v>
      </c>
      <c r="H706" t="inlineStr">
        <is>
          <t>No</t>
        </is>
      </c>
      <c r="I706" t="inlineStr"/>
      <c r="J706" t="n">
        <v>1</v>
      </c>
      <c r="K706" t="n">
        <v>60</v>
      </c>
      <c r="L706" s="5">
        <f>HYPERLINK("https://api.qogita.com/variants/link/8059142012183/", "View Product")</f>
        <v/>
      </c>
    </row>
    <row r="707">
      <c r="A707" t="inlineStr">
        <is>
          <t>8059142112173</t>
        </is>
      </c>
      <c r="B707" t="inlineStr">
        <is>
          <t>IPAM Simple Nail Brush - Pack of 12</t>
        </is>
      </c>
      <c r="C707" t="inlineStr">
        <is>
          <t>Nail Care</t>
        </is>
      </c>
      <c r="D707" t="inlineStr">
        <is>
          <t>Ipam</t>
        </is>
      </c>
      <c r="E707" t="n">
        <v>0.96</v>
      </c>
      <c r="F707" t="n">
        <v>12</v>
      </c>
      <c r="G707" t="n">
        <v>144</v>
      </c>
      <c r="H707" t="inlineStr">
        <is>
          <t>No</t>
        </is>
      </c>
      <c r="I707" t="inlineStr"/>
      <c r="J707" t="n">
        <v>1</v>
      </c>
      <c r="K707" t="n">
        <v>144</v>
      </c>
      <c r="L707" s="5">
        <f>HYPERLINK("https://api.qogita.com/variants/link/8059142112173/", "View Product")</f>
        <v/>
      </c>
    </row>
    <row r="708">
      <c r="A708" t="inlineStr">
        <is>
          <t>0000073201878</t>
        </is>
      </c>
      <c r="B708" t="inlineStr">
        <is>
          <t>Beter Nail Clipper</t>
        </is>
      </c>
      <c r="C708" t="inlineStr">
        <is>
          <t>Nail Clippers &amp; Tools</t>
        </is>
      </c>
      <c r="D708" t="inlineStr">
        <is>
          <t>Beter</t>
        </is>
      </c>
      <c r="E708" t="n">
        <v>2.96</v>
      </c>
      <c r="F708" t="n">
        <v>1</v>
      </c>
      <c r="G708" t="n">
        <v>8</v>
      </c>
      <c r="H708" t="inlineStr">
        <is>
          <t>No</t>
        </is>
      </c>
      <c r="I708" t="inlineStr"/>
      <c r="J708" t="n">
        <v>1</v>
      </c>
      <c r="K708" t="n">
        <v>8</v>
      </c>
      <c r="L708" s="5">
        <f>HYPERLINK("https://api.qogita.com/variants/link/0000073201878/", "View Product")</f>
        <v/>
      </c>
    </row>
    <row r="709">
      <c r="A709" t="inlineStr">
        <is>
          <t>3616305156808</t>
        </is>
      </c>
      <c r="B709" t="inlineStr">
        <is>
          <t>Rimmel London Nail Nurse Repair Oil Nail Treatment 8ml</t>
        </is>
      </c>
      <c r="C709" t="inlineStr">
        <is>
          <t>Nail Oil</t>
        </is>
      </c>
      <c r="D709" t="inlineStr">
        <is>
          <t>Rimmel London</t>
        </is>
      </c>
      <c r="E709" t="n">
        <v>3.01</v>
      </c>
      <c r="F709" t="n">
        <v>1</v>
      </c>
      <c r="G709" t="n">
        <v>29</v>
      </c>
      <c r="H709" t="inlineStr">
        <is>
          <t>No</t>
        </is>
      </c>
      <c r="I709" t="inlineStr"/>
      <c r="J709" t="n">
        <v>1</v>
      </c>
      <c r="K709" t="n">
        <v>29</v>
      </c>
      <c r="L709" s="5">
        <f>HYPERLINK("https://api.qogita.com/variants/link/3616305156808/", "View Product")</f>
        <v/>
      </c>
    </row>
    <row r="710">
      <c r="A710" t="inlineStr">
        <is>
          <t>4059729408945</t>
        </is>
      </c>
      <c r="B710" t="inlineStr">
        <is>
          <t>Essence Cosmetics The Nail Repair Oil 8ml</t>
        </is>
      </c>
      <c r="C710" t="inlineStr">
        <is>
          <t>Nail Oil</t>
        </is>
      </c>
      <c r="D710" t="inlineStr">
        <is>
          <t>Essence</t>
        </is>
      </c>
      <c r="E710" t="n">
        <v>1.24</v>
      </c>
      <c r="F710" t="n">
        <v>1</v>
      </c>
      <c r="G710" t="n">
        <v>1</v>
      </c>
      <c r="H710" t="inlineStr">
        <is>
          <t>No</t>
        </is>
      </c>
      <c r="I710" t="inlineStr"/>
      <c r="J710" t="n">
        <v>1</v>
      </c>
      <c r="K710" t="n">
        <v>1</v>
      </c>
      <c r="L710" s="5">
        <f>HYPERLINK("https://api.qogita.com/variants/link/4059729408945/", "View Product")</f>
        <v/>
      </c>
    </row>
    <row r="711">
      <c r="A711" t="inlineStr">
        <is>
          <t>4059729518798</t>
        </is>
      </c>
      <c r="B711" t="inlineStr">
        <is>
          <t>Juicy Nail Nail Oil 11 Ml</t>
        </is>
      </c>
      <c r="C711" t="inlineStr">
        <is>
          <t>Nail Oil</t>
        </is>
      </c>
      <c r="D711" t="inlineStr">
        <is>
          <t>Juicy Nails</t>
        </is>
      </c>
      <c r="E711" t="n">
        <v>1.88</v>
      </c>
      <c r="F711" t="n">
        <v>1</v>
      </c>
      <c r="G711" t="n">
        <v>1</v>
      </c>
      <c r="H711" t="inlineStr">
        <is>
          <t>No</t>
        </is>
      </c>
      <c r="I711" t="inlineStr"/>
      <c r="J711" t="n">
        <v>1</v>
      </c>
      <c r="K711" t="n">
        <v>1</v>
      </c>
      <c r="L711" s="5">
        <f>HYPERLINK("https://api.qogita.com/variants/link/4059729518798/", "View Product")</f>
        <v/>
      </c>
    </row>
    <row r="712">
      <c r="A712" t="inlineStr">
        <is>
          <t>7618900710214</t>
        </is>
      </c>
      <c r="B712" t="inlineStr">
        <is>
          <t>Mavala Straight Cuticle Scissor</t>
        </is>
      </c>
      <c r="C712" t="inlineStr">
        <is>
          <t>Cuticle Removers</t>
        </is>
      </c>
      <c r="D712" t="inlineStr">
        <is>
          <t>Mavala</t>
        </is>
      </c>
      <c r="E712" t="n">
        <v>14.13</v>
      </c>
      <c r="F712" t="n">
        <v>1</v>
      </c>
      <c r="G712" t="n">
        <v>1</v>
      </c>
      <c r="H712" t="inlineStr">
        <is>
          <t>No</t>
        </is>
      </c>
      <c r="I712" t="inlineStr"/>
      <c r="J712" t="n">
        <v>1</v>
      </c>
      <c r="K712" t="n">
        <v>1</v>
      </c>
      <c r="L712" s="5">
        <f>HYPERLINK("https://api.qogita.com/variants/link/7618900710214/", "View Product")</f>
        <v/>
      </c>
    </row>
    <row r="713">
      <c r="A713" t="inlineStr">
        <is>
          <t>7618900711013</t>
        </is>
      </c>
      <c r="B713" t="inlineStr">
        <is>
          <t>Mavala Cuticle Nippers</t>
        </is>
      </c>
      <c r="C713" t="inlineStr">
        <is>
          <t>Cuticle Removers</t>
        </is>
      </c>
      <c r="D713" t="inlineStr">
        <is>
          <t>Mavala</t>
        </is>
      </c>
      <c r="E713" t="n">
        <v>20.4</v>
      </c>
      <c r="F713" t="n">
        <v>1</v>
      </c>
      <c r="G713" t="n">
        <v>1</v>
      </c>
      <c r="H713" t="inlineStr">
        <is>
          <t>No</t>
        </is>
      </c>
      <c r="I713" t="inlineStr"/>
      <c r="J713" t="n">
        <v>1</v>
      </c>
      <c r="K713" t="n">
        <v>1</v>
      </c>
      <c r="L713" s="5">
        <f>HYPERLINK("https://api.qogita.com/variants/link/7618900711013/", "View Product")</f>
        <v/>
      </c>
    </row>
    <row r="714">
      <c r="A714" t="inlineStr">
        <is>
          <t>7618900712010</t>
        </is>
      </c>
      <c r="B714" t="inlineStr">
        <is>
          <t>Nail Nipper</t>
        </is>
      </c>
      <c r="C714" t="inlineStr">
        <is>
          <t>Nail Clippers &amp; Tools</t>
        </is>
      </c>
      <c r="D714" t="inlineStr">
        <is>
          <t>Mavala</t>
        </is>
      </c>
      <c r="E714" t="n">
        <v>18.09</v>
      </c>
      <c r="F714" t="n">
        <v>1</v>
      </c>
      <c r="G714" t="n">
        <v>2</v>
      </c>
      <c r="H714" t="inlineStr">
        <is>
          <t>No</t>
        </is>
      </c>
      <c r="I714" t="inlineStr"/>
      <c r="J714" t="n">
        <v>1</v>
      </c>
      <c r="K714" t="n">
        <v>2</v>
      </c>
      <c r="L714" s="5">
        <f>HYPERLINK("https://api.qogita.com/variants/link/7618900712010/", "View Product")</f>
        <v/>
      </c>
    </row>
    <row r="715">
      <c r="A715" t="inlineStr">
        <is>
          <t>7618900906136</t>
        </is>
      </c>
      <c r="B715" t="inlineStr">
        <is>
          <t>Mavala Manicure Sticks</t>
        </is>
      </c>
      <c r="C715" t="inlineStr">
        <is>
          <t>Manicure Sets</t>
        </is>
      </c>
      <c r="D715" t="inlineStr">
        <is>
          <t>Mavala</t>
        </is>
      </c>
      <c r="E715" t="n">
        <v>3.53</v>
      </c>
      <c r="F715" t="n">
        <v>1</v>
      </c>
      <c r="G715" t="n">
        <v>1</v>
      </c>
      <c r="H715" t="inlineStr">
        <is>
          <t>No</t>
        </is>
      </c>
      <c r="I715" t="inlineStr"/>
      <c r="J715" t="n">
        <v>1</v>
      </c>
      <c r="K715" t="n">
        <v>1</v>
      </c>
      <c r="L715" s="5">
        <f>HYPERLINK("https://api.qogita.com/variants/link/7618900906136/", "View Product")</f>
        <v/>
      </c>
    </row>
    <row r="716">
      <c r="A716" t="inlineStr">
        <is>
          <t>7618900917552</t>
        </is>
      </c>
      <c r="B716" t="inlineStr">
        <is>
          <t>Mavala Oil Seal Dryer</t>
        </is>
      </c>
      <c r="C716" t="inlineStr">
        <is>
          <t>Nail Oil</t>
        </is>
      </c>
      <c r="D716" t="inlineStr">
        <is>
          <t>Mavala</t>
        </is>
      </c>
      <c r="E716" t="n">
        <v>8.83</v>
      </c>
      <c r="F716" t="n">
        <v>1</v>
      </c>
      <c r="G716" t="n">
        <v>2</v>
      </c>
      <c r="H716" t="inlineStr">
        <is>
          <t>No</t>
        </is>
      </c>
      <c r="I716" t="inlineStr"/>
      <c r="J716" t="n">
        <v>1</v>
      </c>
      <c r="K716" t="n">
        <v>2</v>
      </c>
      <c r="L716" s="5">
        <f>HYPERLINK("https://api.qogita.com/variants/link/7618900917552/", "View Product")</f>
        <v/>
      </c>
    </row>
    <row r="717">
      <c r="A717" t="inlineStr">
        <is>
          <t>7618900995659</t>
        </is>
      </c>
      <c r="B717" t="inlineStr">
        <is>
          <t>Mavala Mavala Cientifico K Carded 2ml Endurec</t>
        </is>
      </c>
      <c r="C717" t="inlineStr">
        <is>
          <t>Nail Care Sets</t>
        </is>
      </c>
      <c r="D717" t="inlineStr">
        <is>
          <t>Mavala</t>
        </is>
      </c>
      <c r="E717" t="n">
        <v>6.13</v>
      </c>
      <c r="F717" t="n">
        <v>1</v>
      </c>
      <c r="G717" t="n">
        <v>1</v>
      </c>
      <c r="H717" t="inlineStr">
        <is>
          <t>No</t>
        </is>
      </c>
      <c r="I717" t="inlineStr"/>
      <c r="J717" t="n">
        <v>1</v>
      </c>
      <c r="K717" t="n">
        <v>1</v>
      </c>
      <c r="L717" s="5">
        <f>HYPERLINK("https://api.qogita.com/variants/link/7618900995659/", "View Product")</f>
        <v/>
      </c>
    </row>
    <row r="718">
      <c r="A718" t="inlineStr">
        <is>
          <t>8412122050221</t>
        </is>
      </c>
      <c r="B718" t="inlineStr">
        <is>
          <t>Beter Fiberglass Nail File 05022 Assorted Models</t>
        </is>
      </c>
      <c r="C718" t="inlineStr">
        <is>
          <t>Nail Clippers &amp; Tools</t>
        </is>
      </c>
      <c r="D718" t="inlineStr">
        <is>
          <t>Beter</t>
        </is>
      </c>
      <c r="E718" t="n">
        <v>0.6899999999999999</v>
      </c>
      <c r="F718" t="n">
        <v>1</v>
      </c>
      <c r="G718" t="n">
        <v>22</v>
      </c>
      <c r="H718" t="inlineStr">
        <is>
          <t>No</t>
        </is>
      </c>
      <c r="I718" t="inlineStr"/>
      <c r="J718" t="n">
        <v>1</v>
      </c>
      <c r="K718" t="n">
        <v>22</v>
      </c>
      <c r="L718" s="5">
        <f>HYPERLINK("https://api.qogita.com/variants/link/8412122050221/", "View Product")</f>
        <v/>
      </c>
    </row>
    <row r="719">
      <c r="A719" t="inlineStr">
        <is>
          <t>8412122053000</t>
        </is>
      </c>
      <c r="B719" t="inlineStr">
        <is>
          <t>Beter Beter Nail File Natural Fiber 2 Units</t>
        </is>
      </c>
      <c r="C719" t="inlineStr">
        <is>
          <t>Nail Care</t>
        </is>
      </c>
      <c r="D719" t="inlineStr">
        <is>
          <t>Beter</t>
        </is>
      </c>
      <c r="E719" t="n">
        <v>1</v>
      </c>
      <c r="F719" t="n">
        <v>1</v>
      </c>
      <c r="G719" t="n">
        <v>6</v>
      </c>
      <c r="H719" t="inlineStr">
        <is>
          <t>No</t>
        </is>
      </c>
      <c r="I719" t="inlineStr"/>
      <c r="J719" t="n">
        <v>1</v>
      </c>
      <c r="K719" t="n">
        <v>6</v>
      </c>
      <c r="L719" s="5">
        <f>HYPERLINK("https://api.qogita.com/variants/link/8412122053000/", "View Product")</f>
        <v/>
      </c>
    </row>
    <row r="720">
      <c r="A720" t="inlineStr">
        <is>
          <t>8412122070014</t>
        </is>
      </c>
      <c r="B720" t="inlineStr">
        <is>
          <t>Beter Nail Clipper</t>
        </is>
      </c>
      <c r="C720" t="inlineStr">
        <is>
          <t>Nail Clippers &amp; Tools</t>
        </is>
      </c>
      <c r="D720" t="inlineStr">
        <is>
          <t>Beter</t>
        </is>
      </c>
      <c r="E720" t="n">
        <v>0.53</v>
      </c>
      <c r="F720" t="n">
        <v>1</v>
      </c>
      <c r="G720" t="n">
        <v>4</v>
      </c>
      <c r="H720" t="inlineStr">
        <is>
          <t>No</t>
        </is>
      </c>
      <c r="I720" t="inlineStr"/>
      <c r="J720" t="n">
        <v>1</v>
      </c>
      <c r="K720" t="n">
        <v>4</v>
      </c>
      <c r="L720" s="5">
        <f>HYPERLINK("https://api.qogita.com/variants/link/8412122070014/", "View Product")</f>
        <v/>
      </c>
    </row>
    <row r="721">
      <c r="A721" t="inlineStr">
        <is>
          <t>8412122070045</t>
        </is>
      </c>
      <c r="B721" t="inlineStr">
        <is>
          <t>Beter Chrome Plated Manicure Nail Clippers</t>
        </is>
      </c>
      <c r="C721" t="inlineStr">
        <is>
          <t>Nail Clippers &amp; Tools</t>
        </is>
      </c>
      <c r="D721" t="inlineStr">
        <is>
          <t>Beter</t>
        </is>
      </c>
      <c r="E721" t="n">
        <v>1.02</v>
      </c>
      <c r="F721" t="n">
        <v>1</v>
      </c>
      <c r="G721" t="n">
        <v>7</v>
      </c>
      <c r="H721" t="inlineStr">
        <is>
          <t>No</t>
        </is>
      </c>
      <c r="I721" t="inlineStr"/>
      <c r="J721" t="n">
        <v>1</v>
      </c>
      <c r="K721" t="n">
        <v>7</v>
      </c>
      <c r="L721" s="5">
        <f>HYPERLINK("https://api.qogita.com/variants/link/8412122070045/", "View Product")</f>
        <v/>
      </c>
    </row>
    <row r="722">
      <c r="A722" t="inlineStr">
        <is>
          <t>8412122110178</t>
        </is>
      </c>
      <c r="B722" t="inlineStr">
        <is>
          <t>Beter Travel Manicure Set Level Up Collection Lemon</t>
        </is>
      </c>
      <c r="C722" t="inlineStr">
        <is>
          <t>Manicure Sets</t>
        </is>
      </c>
      <c r="D722" t="inlineStr">
        <is>
          <t>Beter</t>
        </is>
      </c>
      <c r="E722" t="n">
        <v>5.94</v>
      </c>
      <c r="F722" t="n">
        <v>1</v>
      </c>
      <c r="G722" t="n">
        <v>13</v>
      </c>
      <c r="H722" t="inlineStr">
        <is>
          <t>No</t>
        </is>
      </c>
      <c r="I722" t="inlineStr"/>
      <c r="J722" t="n">
        <v>1</v>
      </c>
      <c r="K722" t="n">
        <v>13</v>
      </c>
      <c r="L722" s="5">
        <f>HYPERLINK("https://api.qogita.com/variants/link/8412122110178/", "View Product")</f>
        <v/>
      </c>
    </row>
    <row r="723">
      <c r="A723" t="inlineStr">
        <is>
          <t>8412122340322</t>
        </is>
      </c>
      <c r="B723" t="inlineStr">
        <is>
          <t>Beter Cuticle Cutter With Cuticle Pusher And File</t>
        </is>
      </c>
      <c r="C723" t="inlineStr">
        <is>
          <t>Nail Clippers &amp; Tools</t>
        </is>
      </c>
      <c r="D723" t="inlineStr">
        <is>
          <t>Beter</t>
        </is>
      </c>
      <c r="E723" t="n">
        <v>2.21</v>
      </c>
      <c r="F723" t="n">
        <v>1</v>
      </c>
      <c r="G723" t="n">
        <v>14</v>
      </c>
      <c r="H723" t="inlineStr">
        <is>
          <t>No</t>
        </is>
      </c>
      <c r="I723" t="inlineStr"/>
      <c r="J723" t="n">
        <v>1</v>
      </c>
      <c r="K723" t="n">
        <v>14</v>
      </c>
      <c r="L723" s="5">
        <f>HYPERLINK("https://api.qogita.com/variants/link/8412122340322/", "View Product")</f>
        <v/>
      </c>
    </row>
    <row r="724">
      <c r="A724" t="inlineStr">
        <is>
          <t>8412122400507</t>
        </is>
      </c>
      <c r="B724" t="inlineStr">
        <is>
          <t>Beter Beter Nail Care Almond Oil For Nails And Cuticles</t>
        </is>
      </c>
      <c r="C724" t="inlineStr">
        <is>
          <t>Nail Oil</t>
        </is>
      </c>
      <c r="D724" t="inlineStr">
        <is>
          <t>Beter</t>
        </is>
      </c>
      <c r="E724" t="n">
        <v>2.13</v>
      </c>
      <c r="F724" t="n">
        <v>1</v>
      </c>
      <c r="G724" t="n">
        <v>22</v>
      </c>
      <c r="H724" t="inlineStr">
        <is>
          <t>No</t>
        </is>
      </c>
      <c r="I724" t="inlineStr"/>
      <c r="J724" t="n">
        <v>1</v>
      </c>
      <c r="K724" t="n">
        <v>22</v>
      </c>
      <c r="L724" s="5">
        <f>HYPERLINK("https://api.qogita.com/variants/link/8412122400507/", "View Product")</f>
        <v/>
      </c>
    </row>
    <row r="725">
      <c r="A725" t="inlineStr">
        <is>
          <t>8412122400514</t>
        </is>
      </c>
      <c r="B725" t="inlineStr">
        <is>
          <t>Beter Beter Nail Care Strengthener</t>
        </is>
      </c>
      <c r="C725" t="inlineStr">
        <is>
          <t>Nail Care Sets</t>
        </is>
      </c>
      <c r="D725" t="inlineStr">
        <is>
          <t>Beter</t>
        </is>
      </c>
      <c r="E725" t="n">
        <v>2.02</v>
      </c>
      <c r="F725" t="n">
        <v>1</v>
      </c>
      <c r="G725" t="n">
        <v>61</v>
      </c>
      <c r="H725" t="inlineStr">
        <is>
          <t>No</t>
        </is>
      </c>
      <c r="I725" t="inlineStr"/>
      <c r="J725" t="n">
        <v>1</v>
      </c>
      <c r="K725" t="n">
        <v>61</v>
      </c>
      <c r="L725" s="5">
        <f>HYPERLINK("https://api.qogita.com/variants/link/8412122400514/", "View Product")</f>
        <v/>
      </c>
    </row>
    <row r="726">
      <c r="A726" t="inlineStr">
        <is>
          <t>8412122400538</t>
        </is>
      </c>
      <c r="B726" t="inlineStr">
        <is>
          <t>Beter Beter Nail Care Night Repair Mask</t>
        </is>
      </c>
      <c r="C726" t="inlineStr">
        <is>
          <t>Nail Care Sets</t>
        </is>
      </c>
      <c r="D726" t="inlineStr">
        <is>
          <t>Beter</t>
        </is>
      </c>
      <c r="E726" t="n">
        <v>2.02</v>
      </c>
      <c r="F726" t="n">
        <v>1</v>
      </c>
      <c r="G726" t="n">
        <v>26</v>
      </c>
      <c r="H726" t="inlineStr">
        <is>
          <t>No</t>
        </is>
      </c>
      <c r="I726" t="inlineStr"/>
      <c r="J726" t="n">
        <v>1</v>
      </c>
      <c r="K726" t="n">
        <v>26</v>
      </c>
      <c r="L726" s="5">
        <f>HYPERLINK("https://api.qogita.com/variants/link/8412122400538/", "View Product")</f>
        <v/>
      </c>
    </row>
    <row r="727">
      <c r="A727" t="inlineStr">
        <is>
          <t>8412122400545</t>
        </is>
      </c>
      <c r="B727" t="inlineStr">
        <is>
          <t>Beter Beter Nail Care Alisa Stretch Marks Size 11 Ml</t>
        </is>
      </c>
      <c r="C727" t="inlineStr">
        <is>
          <t>Nail Care Sets</t>
        </is>
      </c>
      <c r="D727" t="inlineStr">
        <is>
          <t>Beter</t>
        </is>
      </c>
      <c r="E727" t="n">
        <v>2.02</v>
      </c>
      <c r="F727" t="n">
        <v>1</v>
      </c>
      <c r="G727" t="n">
        <v>52</v>
      </c>
      <c r="H727" t="inlineStr">
        <is>
          <t>No</t>
        </is>
      </c>
      <c r="I727" t="inlineStr"/>
      <c r="J727" t="n">
        <v>1</v>
      </c>
      <c r="K727" t="n">
        <v>52</v>
      </c>
      <c r="L727" s="5">
        <f>HYPERLINK("https://api.qogita.com/variants/link/8412122400545/", "View Product")</f>
        <v/>
      </c>
    </row>
    <row r="728">
      <c r="A728" t="inlineStr">
        <is>
          <t>8412122400613</t>
        </is>
      </c>
      <c r="B728" t="inlineStr">
        <is>
          <t>Nail Care Nail and Cuticle Oil</t>
        </is>
      </c>
      <c r="C728" t="inlineStr">
        <is>
          <t>Nail Oil</t>
        </is>
      </c>
      <c r="D728" t="inlineStr">
        <is>
          <t>Beter</t>
        </is>
      </c>
      <c r="E728" t="n">
        <v>1.74</v>
      </c>
      <c r="F728" t="n">
        <v>1</v>
      </c>
      <c r="G728" t="n">
        <v>23</v>
      </c>
      <c r="H728" t="inlineStr">
        <is>
          <t>No</t>
        </is>
      </c>
      <c r="I728" t="inlineStr"/>
      <c r="J728" t="n">
        <v>1</v>
      </c>
      <c r="K728" t="n">
        <v>23</v>
      </c>
      <c r="L728" s="5">
        <f>HYPERLINK("https://api.qogita.com/variants/link/8412122400613/", "View Product")</f>
        <v/>
      </c>
    </row>
    <row r="729">
      <c r="A729" t="inlineStr">
        <is>
          <t>8412122400668</t>
        </is>
      </c>
      <c r="B729" t="inlineStr">
        <is>
          <t>Nail Care Nail and Cuticle Oil</t>
        </is>
      </c>
      <c r="C729" t="inlineStr">
        <is>
          <t>Nail Oil</t>
        </is>
      </c>
      <c r="D729" t="inlineStr">
        <is>
          <t>Beter</t>
        </is>
      </c>
      <c r="E729" t="n">
        <v>1.83</v>
      </c>
      <c r="F729" t="n">
        <v>1</v>
      </c>
      <c r="G729" t="n">
        <v>27</v>
      </c>
      <c r="H729" t="inlineStr">
        <is>
          <t>No</t>
        </is>
      </c>
      <c r="I729" t="inlineStr"/>
      <c r="J729" t="n">
        <v>1</v>
      </c>
      <c r="K729" t="n">
        <v>27</v>
      </c>
      <c r="L729" s="5">
        <f>HYPERLINK("https://api.qogita.com/variants/link/8412122400668/", "View Product")</f>
        <v/>
      </c>
    </row>
    <row r="730">
      <c r="A730" t="inlineStr">
        <is>
          <t>8412122402273</t>
        </is>
      </c>
      <c r="B730" t="inlineStr">
        <is>
          <t>Beter Nail Care Youth Color 227 Portofino</t>
        </is>
      </c>
      <c r="C730" t="inlineStr">
        <is>
          <t>Nail Care</t>
        </is>
      </c>
      <c r="D730" t="inlineStr">
        <is>
          <t>Beter</t>
        </is>
      </c>
      <c r="E730" t="n">
        <v>1.83</v>
      </c>
      <c r="F730" t="n">
        <v>1</v>
      </c>
      <c r="G730" t="n">
        <v>125</v>
      </c>
      <c r="H730" t="inlineStr">
        <is>
          <t>No</t>
        </is>
      </c>
      <c r="I730" t="inlineStr"/>
      <c r="J730" t="n">
        <v>1</v>
      </c>
      <c r="K730" t="n">
        <v>125</v>
      </c>
      <c r="L730" s="5">
        <f>HYPERLINK("https://api.qogita.com/variants/link/8412122402273/", "View Product")</f>
        <v/>
      </c>
    </row>
    <row r="731">
      <c r="A731" t="inlineStr">
        <is>
          <t>8412122402402</t>
        </is>
      </c>
      <c r="B731" t="inlineStr">
        <is>
          <t>Beter Beter Nail Care Youth Color 240-Energy Pill 11ml</t>
        </is>
      </c>
      <c r="C731" t="inlineStr">
        <is>
          <t>Nail Care Sets</t>
        </is>
      </c>
      <c r="D731" t="inlineStr">
        <is>
          <t>Beter</t>
        </is>
      </c>
      <c r="E731" t="n">
        <v>1.85</v>
      </c>
      <c r="F731" t="n">
        <v>1</v>
      </c>
      <c r="G731" t="n">
        <v>5</v>
      </c>
      <c r="H731" t="inlineStr">
        <is>
          <t>No</t>
        </is>
      </c>
      <c r="I731" t="inlineStr"/>
      <c r="J731" t="n">
        <v>1</v>
      </c>
      <c r="K731" t="n">
        <v>5</v>
      </c>
      <c r="L731" s="5">
        <f>HYPERLINK("https://api.qogita.com/variants/link/8412122402402/", "View Product")</f>
        <v/>
      </c>
    </row>
    <row r="732">
      <c r="A732" t="inlineStr">
        <is>
          <t>8412122402594</t>
        </is>
      </c>
      <c r="B732" t="inlineStr">
        <is>
          <t>Beter Nail Care Youth Color 259 Brown Su</t>
        </is>
      </c>
      <c r="C732" t="inlineStr">
        <is>
          <t>Nail Care</t>
        </is>
      </c>
      <c r="D732" t="inlineStr">
        <is>
          <t>Beter</t>
        </is>
      </c>
      <c r="E732" t="n">
        <v>1.78</v>
      </c>
      <c r="F732" t="n">
        <v>1</v>
      </c>
      <c r="G732" t="n">
        <v>24</v>
      </c>
      <c r="H732" t="inlineStr">
        <is>
          <t>No</t>
        </is>
      </c>
      <c r="I732" t="inlineStr"/>
      <c r="J732" t="n">
        <v>1</v>
      </c>
      <c r="K732" t="n">
        <v>24</v>
      </c>
      <c r="L732" s="5">
        <f>HYPERLINK("https://api.qogita.com/variants/link/8412122402594/", "View Product")</f>
        <v/>
      </c>
    </row>
    <row r="733">
      <c r="A733" t="inlineStr">
        <is>
          <t>8412122402600</t>
        </is>
      </c>
      <c r="B733" t="inlineStr">
        <is>
          <t>Beter Nail Care Youth Color 260 Cookie D Nail Polish</t>
        </is>
      </c>
      <c r="C733" t="inlineStr">
        <is>
          <t>Nail Care</t>
        </is>
      </c>
      <c r="D733" t="inlineStr">
        <is>
          <t>Beter</t>
        </is>
      </c>
      <c r="E733" t="n">
        <v>1.69</v>
      </c>
      <c r="F733" t="n">
        <v>1</v>
      </c>
      <c r="G733" t="n">
        <v>27</v>
      </c>
      <c r="H733" t="inlineStr">
        <is>
          <t>No</t>
        </is>
      </c>
      <c r="I733" t="inlineStr"/>
      <c r="J733" t="n">
        <v>1</v>
      </c>
      <c r="K733" t="n">
        <v>27</v>
      </c>
      <c r="L733" s="5">
        <f>HYPERLINK("https://api.qogita.com/variants/link/8412122402600/", "View Product")</f>
        <v/>
      </c>
    </row>
    <row r="734">
      <c r="A734" t="inlineStr">
        <is>
          <t>8413068402013</t>
        </is>
      </c>
      <c r="B734" t="inlineStr">
        <is>
          <t>Gudea Colorless Cuticle Remover 12ml</t>
        </is>
      </c>
      <c r="C734" t="inlineStr">
        <is>
          <t>Cuticle Removers</t>
        </is>
      </c>
      <c r="D734" t="inlineStr">
        <is>
          <t>Gudea</t>
        </is>
      </c>
      <c r="E734" t="n">
        <v>1.24</v>
      </c>
      <c r="F734" t="n">
        <v>1</v>
      </c>
      <c r="G734" t="n">
        <v>109</v>
      </c>
      <c r="H734" t="inlineStr">
        <is>
          <t>No</t>
        </is>
      </c>
      <c r="I734" t="inlineStr"/>
      <c r="J734" t="n">
        <v>1</v>
      </c>
      <c r="K734" t="n">
        <v>109</v>
      </c>
      <c r="L734" s="5">
        <f>HYPERLINK("https://api.qogita.com/variants/link/8413068402013/", "View Product")</f>
        <v/>
      </c>
    </row>
    <row r="735">
      <c r="A735" t="inlineStr">
        <is>
          <t>8432225092867</t>
        </is>
      </c>
      <c r="B735" t="inlineStr">
        <is>
          <t>Extra-hydrating nail polish remover with moisturizing lotion flask 100 ml</t>
        </is>
      </c>
      <c r="C735" t="inlineStr">
        <is>
          <t>Cuticle Removers</t>
        </is>
      </c>
      <c r="D735" t="inlineStr">
        <is>
          <t>Cutex</t>
        </is>
      </c>
      <c r="E735" t="n">
        <v>1.06</v>
      </c>
      <c r="F735" t="n">
        <v>1</v>
      </c>
      <c r="G735" t="n">
        <v>117</v>
      </c>
      <c r="H735" t="inlineStr">
        <is>
          <t>No</t>
        </is>
      </c>
      <c r="I735" t="inlineStr"/>
      <c r="J735" t="n">
        <v>1</v>
      </c>
      <c r="K735" t="n">
        <v>117</v>
      </c>
      <c r="L735" s="5">
        <f>HYPERLINK("https://api.qogita.com/variants/link/8432225092867/", "View Product")</f>
        <v/>
      </c>
    </row>
    <row r="736">
      <c r="A736" t="inlineStr">
        <is>
          <t>8470002646148</t>
        </is>
      </c>
      <c r="B736" t="inlineStr">
        <is>
          <t>Cuticle Care Oils 30ml</t>
        </is>
      </c>
      <c r="C736" t="inlineStr">
        <is>
          <t>Nail Oil</t>
        </is>
      </c>
      <c r="D736" t="inlineStr">
        <is>
          <t>Dermatoss</t>
        </is>
      </c>
      <c r="E736" t="n">
        <v>8.35</v>
      </c>
      <c r="F736" t="n">
        <v>1</v>
      </c>
      <c r="G736" t="n">
        <v>1</v>
      </c>
      <c r="H736" t="inlineStr">
        <is>
          <t>No</t>
        </is>
      </c>
      <c r="I736" t="inlineStr"/>
      <c r="J736" t="n">
        <v>1</v>
      </c>
      <c r="K736" t="n">
        <v>1</v>
      </c>
      <c r="L736" s="5">
        <f>HYPERLINK("https://api.qogita.com/variants/link/8470002646148/", "View Product")</f>
        <v/>
      </c>
    </row>
    <row r="737">
      <c r="A737" t="inlineStr">
        <is>
          <t>0841850010609</t>
        </is>
      </c>
      <c r="B737" t="inlineStr">
        <is>
          <t>Truyu Toenail Clipper</t>
        </is>
      </c>
      <c r="C737" t="inlineStr">
        <is>
          <t>Nail Clippers &amp; Tools</t>
        </is>
      </c>
      <c r="D737" t="inlineStr">
        <is>
          <t>TruBaby</t>
        </is>
      </c>
      <c r="E737" t="n">
        <v>1.31</v>
      </c>
      <c r="F737" t="n">
        <v>1</v>
      </c>
      <c r="G737" t="n">
        <v>61</v>
      </c>
      <c r="H737" t="inlineStr">
        <is>
          <t>No</t>
        </is>
      </c>
      <c r="I737" t="inlineStr"/>
      <c r="J737" t="n">
        <v>1</v>
      </c>
      <c r="K737" t="n">
        <v>61</v>
      </c>
      <c r="L737" s="5">
        <f>HYPERLINK("https://api.qogita.com/variants/link/0841850010609/", "View Product")</f>
        <v/>
      </c>
    </row>
    <row r="738">
      <c r="A738" t="inlineStr">
        <is>
          <t>5014749180270</t>
        </is>
      </c>
      <c r="B738" t="inlineStr">
        <is>
          <t>Cs Beauty Toe Nail Clippers</t>
        </is>
      </c>
      <c r="C738" t="inlineStr">
        <is>
          <t>Nail Clippers &amp; Tools</t>
        </is>
      </c>
      <c r="D738" t="inlineStr">
        <is>
          <t>Cs</t>
        </is>
      </c>
      <c r="E738" t="n">
        <v>0.55</v>
      </c>
      <c r="F738" t="n">
        <v>6</v>
      </c>
      <c r="G738" t="n">
        <v>102</v>
      </c>
      <c r="H738" t="inlineStr">
        <is>
          <t>No</t>
        </is>
      </c>
      <c r="I738" t="inlineStr"/>
      <c r="J738" t="n">
        <v>1</v>
      </c>
      <c r="K738" t="n">
        <v>102</v>
      </c>
      <c r="L738" s="5">
        <f>HYPERLINK("https://api.qogita.com/variants/link/5014749180270/", "View Product")</f>
        <v/>
      </c>
    </row>
    <row r="739">
      <c r="A739" t="inlineStr">
        <is>
          <t>5037741100916</t>
        </is>
      </c>
      <c r="B739" t="inlineStr">
        <is>
          <t>Classic False Nail/Tip Remover</t>
        </is>
      </c>
      <c r="C739" t="inlineStr">
        <is>
          <t>Cuticle Removers</t>
        </is>
      </c>
      <c r="D739" t="inlineStr">
        <is>
          <t>Asos</t>
        </is>
      </c>
      <c r="E739" t="n">
        <v>0.84</v>
      </c>
      <c r="F739" t="n">
        <v>12</v>
      </c>
      <c r="G739" t="n">
        <v>36</v>
      </c>
      <c r="H739" t="inlineStr">
        <is>
          <t>No</t>
        </is>
      </c>
      <c r="I739" t="inlineStr"/>
      <c r="J739" t="n">
        <v>1</v>
      </c>
      <c r="K739" t="n">
        <v>36</v>
      </c>
      <c r="L739" s="5">
        <f>HYPERLINK("https://api.qogita.com/variants/link/5037741100916/", "View Product")</f>
        <v/>
      </c>
    </row>
    <row r="740">
      <c r="A740" t="inlineStr">
        <is>
          <t>5050895015424</t>
        </is>
      </c>
      <c r="B740" t="inlineStr">
        <is>
          <t>Zazie Assorted Emery Boards</t>
        </is>
      </c>
      <c r="C740" t="inlineStr">
        <is>
          <t>Manicure Sets</t>
        </is>
      </c>
      <c r="D740" t="inlineStr">
        <is>
          <t>Zazie</t>
        </is>
      </c>
      <c r="E740" t="n">
        <v>0.63</v>
      </c>
      <c r="F740" t="n">
        <v>24</v>
      </c>
      <c r="G740" t="n">
        <v>24</v>
      </c>
      <c r="H740" t="inlineStr">
        <is>
          <t>No</t>
        </is>
      </c>
      <c r="I740" t="inlineStr"/>
      <c r="J740" t="n">
        <v>1</v>
      </c>
      <c r="K740" t="n">
        <v>24</v>
      </c>
      <c r="L740" s="5">
        <f>HYPERLINK("https://api.qogita.com/variants/link/5050895015424/", "View Product")</f>
        <v/>
      </c>
    </row>
    <row r="741">
      <c r="A741" t="inlineStr">
        <is>
          <t>5050895061001</t>
        </is>
      </c>
      <c r="B741" t="inlineStr">
        <is>
          <t>Athena Nail Brush Manicure Pedicure Scrubbing Cleaning Various Colors</t>
        </is>
      </c>
      <c r="C741" t="inlineStr">
        <is>
          <t>Manicure Sets</t>
        </is>
      </c>
      <c r="D741" t="inlineStr">
        <is>
          <t>Athena</t>
        </is>
      </c>
      <c r="E741" t="n">
        <v>0.32</v>
      </c>
      <c r="F741" t="n">
        <v>12</v>
      </c>
      <c r="G741" t="n">
        <v>204</v>
      </c>
      <c r="H741" t="inlineStr">
        <is>
          <t>No</t>
        </is>
      </c>
      <c r="I741" t="inlineStr"/>
      <c r="J741" t="n">
        <v>1</v>
      </c>
      <c r="K741" t="n">
        <v>204</v>
      </c>
      <c r="L741" s="5">
        <f>HYPERLINK("https://api.qogita.com/variants/link/5050895061001/", "View Product")</f>
        <v/>
      </c>
    </row>
    <row r="742">
      <c r="A742" t="inlineStr">
        <is>
          <t>5050895061025</t>
        </is>
      </c>
      <c r="B742" t="inlineStr">
        <is>
          <t>Set Of 12 Wooden Nail Brushes Soft Bristle Cleaning Brush Hands Feet Scrubbing</t>
        </is>
      </c>
      <c r="C742" t="inlineStr">
        <is>
          <t>Nail Care Sets</t>
        </is>
      </c>
      <c r="D742" t="inlineStr">
        <is>
          <t>Athena</t>
        </is>
      </c>
      <c r="E742" t="n">
        <v>0.36</v>
      </c>
      <c r="F742" t="n">
        <v>12</v>
      </c>
      <c r="G742" t="n">
        <v>600</v>
      </c>
      <c r="H742" t="inlineStr">
        <is>
          <t>No</t>
        </is>
      </c>
      <c r="I742" t="inlineStr"/>
      <c r="J742" t="n">
        <v>1</v>
      </c>
      <c r="K742" t="n">
        <v>600</v>
      </c>
      <c r="L742" s="5">
        <f>HYPERLINK("https://api.qogita.com/variants/link/5050895061025/", "View Product")</f>
        <v/>
      </c>
    </row>
    <row r="743">
      <c r="A743" t="inlineStr">
        <is>
          <t>5050895067058</t>
        </is>
      </c>
      <c r="B743" t="inlineStr">
        <is>
          <t>Zazie Manicure Set Carded</t>
        </is>
      </c>
      <c r="C743" t="inlineStr">
        <is>
          <t>Manicure Sets</t>
        </is>
      </c>
      <c r="D743" t="inlineStr">
        <is>
          <t>Zazie</t>
        </is>
      </c>
      <c r="E743" t="n">
        <v>0.4</v>
      </c>
      <c r="F743" t="n">
        <v>12</v>
      </c>
      <c r="G743" t="n">
        <v>708</v>
      </c>
      <c r="H743" t="inlineStr">
        <is>
          <t>No</t>
        </is>
      </c>
      <c r="I743" t="inlineStr"/>
      <c r="J743" t="n">
        <v>1</v>
      </c>
      <c r="K743" t="n">
        <v>708</v>
      </c>
      <c r="L743" s="5">
        <f>HYPERLINK("https://api.qogita.com/variants/link/5050895067058/", "View Product")</f>
        <v/>
      </c>
    </row>
    <row r="744">
      <c r="A744" t="inlineStr">
        <is>
          <t>5050895239479</t>
        </is>
      </c>
      <c r="B744" t="inlineStr">
        <is>
          <t>Zazie Large Stainless Steel Hand and Toe Nail Cutter Clipper Trimmer 80mm</t>
        </is>
      </c>
      <c r="C744" t="inlineStr">
        <is>
          <t>Nail Clippers &amp; Tools</t>
        </is>
      </c>
      <c r="D744" t="inlineStr">
        <is>
          <t>Zazie</t>
        </is>
      </c>
      <c r="E744" t="n">
        <v>0.32</v>
      </c>
      <c r="F744" t="n">
        <v>18</v>
      </c>
      <c r="G744" t="n">
        <v>540</v>
      </c>
      <c r="H744" t="inlineStr">
        <is>
          <t>No</t>
        </is>
      </c>
      <c r="I744" t="inlineStr"/>
      <c r="J744" t="n">
        <v>1</v>
      </c>
      <c r="K744" t="n">
        <v>540</v>
      </c>
      <c r="L744" s="5">
        <f>HYPERLINK("https://api.qogita.com/variants/link/5050895239479/", "View Product")</f>
        <v/>
      </c>
    </row>
    <row r="745">
      <c r="A745" t="inlineStr">
        <is>
          <t>5050895239493</t>
        </is>
      </c>
      <c r="B745" t="inlineStr">
        <is>
          <t>Zazie Curved Edge Nail Clippers for Fingers and Toes - Manicure and Cuticle Care</t>
        </is>
      </c>
      <c r="C745" t="inlineStr">
        <is>
          <t>Nail Clippers &amp; Tools</t>
        </is>
      </c>
      <c r="D745" t="inlineStr">
        <is>
          <t>Zazie</t>
        </is>
      </c>
      <c r="E745" t="n">
        <v>0.24</v>
      </c>
      <c r="F745" t="n">
        <v>18</v>
      </c>
      <c r="G745" t="n">
        <v>378</v>
      </c>
      <c r="H745" t="inlineStr">
        <is>
          <t>No</t>
        </is>
      </c>
      <c r="I745" t="inlineStr"/>
      <c r="J745" t="n">
        <v>1</v>
      </c>
      <c r="K745" t="n">
        <v>378</v>
      </c>
      <c r="L745" s="5">
        <f>HYPERLINK("https://api.qogita.com/variants/link/5050895239493/", "View Product")</f>
        <v/>
      </c>
    </row>
    <row r="746">
      <c r="A746" t="inlineStr">
        <is>
          <t>5050895242530</t>
        </is>
      </c>
      <c r="B746" t="inlineStr">
        <is>
          <t>Athena Pedicure 4 in 1 Tool</t>
        </is>
      </c>
      <c r="C746" t="inlineStr">
        <is>
          <t>Nail Clippers &amp; Tools</t>
        </is>
      </c>
      <c r="D746" t="inlineStr">
        <is>
          <t>Athena</t>
        </is>
      </c>
      <c r="E746" t="n">
        <v>0.55</v>
      </c>
      <c r="F746" t="n">
        <v>12</v>
      </c>
      <c r="G746" t="n">
        <v>1500</v>
      </c>
      <c r="H746" t="inlineStr">
        <is>
          <t>No</t>
        </is>
      </c>
      <c r="I746" t="inlineStr"/>
      <c r="J746" t="n">
        <v>1</v>
      </c>
      <c r="K746" t="n">
        <v>1500</v>
      </c>
      <c r="L746" s="5">
        <f>HYPERLINK("https://api.qogita.com/variants/link/5050895242530/", "View Product")</f>
        <v/>
      </c>
    </row>
    <row r="747">
      <c r="A747" t="inlineStr">
        <is>
          <t>5050895242578</t>
        </is>
      </c>
      <c r="B747" t="inlineStr">
        <is>
          <t>Zazie Assorted Emery Boards Nail Files Salon Various Designs Pack of 3</t>
        </is>
      </c>
      <c r="C747" t="inlineStr">
        <is>
          <t>Nail Care Sets</t>
        </is>
      </c>
      <c r="D747" t="inlineStr">
        <is>
          <t>Zazie</t>
        </is>
      </c>
      <c r="E747" t="n">
        <v>0.38</v>
      </c>
      <c r="F747" t="n">
        <v>24</v>
      </c>
      <c r="G747" t="n">
        <v>120</v>
      </c>
      <c r="H747" t="inlineStr">
        <is>
          <t>No</t>
        </is>
      </c>
      <c r="I747" t="inlineStr"/>
      <c r="J747" t="n">
        <v>1</v>
      </c>
      <c r="K747" t="n">
        <v>120</v>
      </c>
      <c r="L747" s="5">
        <f>HYPERLINK("https://api.qogita.com/variants/link/5050895242578/", "View Product")</f>
        <v/>
      </c>
    </row>
    <row r="748">
      <c r="A748" t="inlineStr">
        <is>
          <t>0735005284406</t>
        </is>
      </c>
      <c r="B748" t="inlineStr">
        <is>
          <t>Emtrix Solution 10ml for Nail Care</t>
        </is>
      </c>
      <c r="C748" t="inlineStr">
        <is>
          <t>Cuticle Removers</t>
        </is>
      </c>
      <c r="D748" t="inlineStr">
        <is>
          <t>Emtrix</t>
        </is>
      </c>
      <c r="E748" t="n">
        <v>14.22</v>
      </c>
      <c r="F748" t="n">
        <v>1</v>
      </c>
      <c r="G748" t="n">
        <v>30</v>
      </c>
      <c r="H748" t="inlineStr">
        <is>
          <t>No</t>
        </is>
      </c>
      <c r="I748" t="inlineStr"/>
      <c r="J748" t="n">
        <v>2</v>
      </c>
      <c r="K748" t="n">
        <v>60</v>
      </c>
      <c r="L748" s="5">
        <f>HYPERLINK("https://api.qogita.com/variants/link/0735005284406/", "View Product")</f>
        <v/>
      </c>
    </row>
    <row r="749">
      <c r="A749" t="inlineStr">
        <is>
          <t>4013474117194</t>
        </is>
      </c>
      <c r="B749" t="inlineStr">
        <is>
          <t>Dual Sanitaly Gehwol Nail Softener 15 Ml</t>
        </is>
      </c>
      <c r="C749" t="inlineStr">
        <is>
          <t>Nail Oil</t>
        </is>
      </c>
      <c r="D749" t="inlineStr">
        <is>
          <t>Gehwol</t>
        </is>
      </c>
      <c r="E749" t="n">
        <v>7.02</v>
      </c>
      <c r="F749" t="n">
        <v>1</v>
      </c>
      <c r="G749" t="n">
        <v>9</v>
      </c>
      <c r="H749" t="inlineStr">
        <is>
          <t>No</t>
        </is>
      </c>
      <c r="I749" t="inlineStr"/>
      <c r="J749" t="n">
        <v>1</v>
      </c>
      <c r="K749" t="n">
        <v>9</v>
      </c>
      <c r="L749" s="5">
        <f>HYPERLINK("https://api.qogita.com/variants/link/4013474117194/", "View Product")</f>
        <v/>
      </c>
    </row>
    <row r="750">
      <c r="A750" t="inlineStr">
        <is>
          <t>5052197046519</t>
        </is>
      </c>
      <c r="B750" t="inlineStr">
        <is>
          <t>Scholl Velvet Electronic Nail Care System Blue 6 Count</t>
        </is>
      </c>
      <c r="C750" t="inlineStr">
        <is>
          <t>Nail Care Sets</t>
        </is>
      </c>
      <c r="D750" t="inlineStr">
        <is>
          <t>Scholl</t>
        </is>
      </c>
      <c r="E750" t="n">
        <v>21.59</v>
      </c>
      <c r="F750" t="n">
        <v>1</v>
      </c>
      <c r="G750" t="n">
        <v>1</v>
      </c>
      <c r="H750" t="inlineStr">
        <is>
          <t>No</t>
        </is>
      </c>
      <c r="I750" t="inlineStr"/>
      <c r="J750" t="n">
        <v>2</v>
      </c>
      <c r="K750" t="n">
        <v>80</v>
      </c>
      <c r="L750" s="5">
        <f>HYPERLINK("https://api.qogita.com/variants/link/5052197046519/", "View Product")</f>
        <v/>
      </c>
    </row>
    <row r="751">
      <c r="A751" t="inlineStr">
        <is>
          <t>5200375300513</t>
        </is>
      </c>
      <c r="B751" t="inlineStr">
        <is>
          <t>Logofarma Spa Oliprox Nail Polish 12 Ml Ce</t>
        </is>
      </c>
      <c r="C751" t="inlineStr">
        <is>
          <t>Nail Oil</t>
        </is>
      </c>
      <c r="D751" t="inlineStr">
        <is>
          <t>Logofarma</t>
        </is>
      </c>
      <c r="E751" t="n">
        <v>13.55</v>
      </c>
      <c r="F751" t="n">
        <v>1</v>
      </c>
      <c r="G751" t="n">
        <v>2</v>
      </c>
      <c r="H751" t="inlineStr">
        <is>
          <t>No</t>
        </is>
      </c>
      <c r="I751" t="inlineStr"/>
      <c r="J751" t="n">
        <v>2</v>
      </c>
      <c r="K751" t="n">
        <v>11</v>
      </c>
      <c r="L751" s="5">
        <f>HYPERLINK("https://api.qogita.com/variants/link/5200375300513/", "View Product")</f>
        <v/>
      </c>
    </row>
    <row r="752">
      <c r="A752" t="inlineStr">
        <is>
          <t>5350555009788</t>
        </is>
      </c>
      <c r="B752" t="inlineStr">
        <is>
          <t>Nuvita 1138 Set of Scissors with Rounded Tips, Nail Clippers, and Files</t>
        </is>
      </c>
      <c r="C752" t="inlineStr">
        <is>
          <t>Nail Clippers &amp; Tools</t>
        </is>
      </c>
      <c r="D752" t="inlineStr">
        <is>
          <t>Nuvita</t>
        </is>
      </c>
      <c r="E752" t="n">
        <v>4.03</v>
      </c>
      <c r="F752" t="n">
        <v>1</v>
      </c>
      <c r="G752" t="n">
        <v>1</v>
      </c>
      <c r="H752" t="inlineStr">
        <is>
          <t>No</t>
        </is>
      </c>
      <c r="I752" t="inlineStr"/>
      <c r="J752" t="n">
        <v>1</v>
      </c>
      <c r="K752" t="n">
        <v>1</v>
      </c>
      <c r="L752" s="5">
        <f>HYPERLINK("https://api.qogita.com/variants/link/5350555009788/", "View Product")</f>
        <v/>
      </c>
    </row>
    <row r="753">
      <c r="A753" t="inlineStr">
        <is>
          <t>7311620013503</t>
        </is>
      </c>
      <c r="B753" t="inlineStr">
        <is>
          <t>Pevaryl Nail Mycosis Treatment Gel 14ml</t>
        </is>
      </c>
      <c r="C753" t="inlineStr">
        <is>
          <t>Nail Care</t>
        </is>
      </c>
      <c r="D753" t="inlineStr">
        <is>
          <t>Pevaryl</t>
        </is>
      </c>
      <c r="E753" t="n">
        <v>17.72</v>
      </c>
      <c r="F753" t="n">
        <v>1</v>
      </c>
      <c r="G753" t="n">
        <v>9</v>
      </c>
      <c r="H753" t="inlineStr">
        <is>
          <t>No</t>
        </is>
      </c>
      <c r="I753" t="inlineStr"/>
      <c r="J753" t="n">
        <v>1</v>
      </c>
      <c r="K753" t="n">
        <v>9</v>
      </c>
      <c r="L753" s="5">
        <f>HYPERLINK("https://api.qogita.com/variants/link/7311620013503/", "View Product")</f>
        <v/>
      </c>
    </row>
    <row r="754">
      <c r="A754" t="inlineStr">
        <is>
          <t>8002140040603</t>
        </is>
      </c>
      <c r="B754" t="inlineStr">
        <is>
          <t>Pharmaceuticals Dr Ciccarelli Nail Strengthening Sos 10 Milliliters</t>
        </is>
      </c>
      <c r="C754" t="inlineStr">
        <is>
          <t>Nail Oil</t>
        </is>
      </c>
      <c r="D754" t="inlineStr">
        <is>
          <t>Dr. Ciccarelli</t>
        </is>
      </c>
      <c r="E754" t="n">
        <v>2.29</v>
      </c>
      <c r="F754" t="n">
        <v>1</v>
      </c>
      <c r="G754" t="n">
        <v>11</v>
      </c>
      <c r="H754" t="inlineStr">
        <is>
          <t>No</t>
        </is>
      </c>
      <c r="I754" t="inlineStr"/>
      <c r="J754" t="n">
        <v>1</v>
      </c>
      <c r="K754" t="n">
        <v>11</v>
      </c>
      <c r="L754" s="5">
        <f>HYPERLINK("https://api.qogita.com/variants/link/8002140040603/", "View Product")</f>
        <v/>
      </c>
    </row>
    <row r="755">
      <c r="A755" t="inlineStr">
        <is>
          <t>8002140111808</t>
        </is>
      </c>
      <c r="B755" t="inlineStr">
        <is>
          <t>Antifungal nail plaster hands and fee 12 pcs</t>
        </is>
      </c>
      <c r="C755" t="inlineStr">
        <is>
          <t>Nail Care</t>
        </is>
      </c>
      <c r="D755" t="inlineStr">
        <is>
          <t>Timodore</t>
        </is>
      </c>
      <c r="E755" t="n">
        <v>4.71</v>
      </c>
      <c r="F755" t="n">
        <v>1</v>
      </c>
      <c r="G755" t="n">
        <v>7</v>
      </c>
      <c r="H755" t="inlineStr">
        <is>
          <t>No</t>
        </is>
      </c>
      <c r="I755" t="inlineStr"/>
      <c r="J755" t="n">
        <v>1</v>
      </c>
      <c r="K755" t="n">
        <v>7</v>
      </c>
      <c r="L755" s="5">
        <f>HYPERLINK("https://api.qogita.com/variants/link/8002140111808/", "View Product")</f>
        <v/>
      </c>
    </row>
    <row r="756">
      <c r="A756" t="inlineStr">
        <is>
          <t>8002842169978</t>
        </is>
      </c>
      <c r="B756" t="inlineStr">
        <is>
          <t>Erboristica Vis Mani &amp; Unghie Almond Oil 75ml</t>
        </is>
      </c>
      <c r="C756" t="inlineStr">
        <is>
          <t>Nail Oil</t>
        </is>
      </c>
      <c r="D756" t="inlineStr">
        <is>
          <t>L'Erboristica di Athena</t>
        </is>
      </c>
      <c r="E756" t="n">
        <v>2.63</v>
      </c>
      <c r="F756" t="n">
        <v>1</v>
      </c>
      <c r="G756" t="n">
        <v>5</v>
      </c>
      <c r="H756" t="inlineStr">
        <is>
          <t>No</t>
        </is>
      </c>
      <c r="I756" t="inlineStr"/>
      <c r="J756" t="n">
        <v>1</v>
      </c>
      <c r="K756" t="n">
        <v>5</v>
      </c>
      <c r="L756" s="5">
        <f>HYPERLINK("https://api.qogita.com/variants/link/8002842169978/", "View Product")</f>
        <v/>
      </c>
    </row>
    <row r="757">
      <c r="A757" t="inlineStr">
        <is>
          <t>8003670911883</t>
        </is>
      </c>
      <c r="B757" t="inlineStr">
        <is>
          <t>Chicco Happy Hands My First Manicure Set Suitable from Birth Blue</t>
        </is>
      </c>
      <c r="C757" t="inlineStr">
        <is>
          <t>Manicure Sets</t>
        </is>
      </c>
      <c r="D757" t="inlineStr">
        <is>
          <t>Chicco</t>
        </is>
      </c>
      <c r="E757" t="n">
        <v>7.21</v>
      </c>
      <c r="F757" t="n">
        <v>1</v>
      </c>
      <c r="G757" t="n">
        <v>3</v>
      </c>
      <c r="H757" t="inlineStr">
        <is>
          <t>No</t>
        </is>
      </c>
      <c r="I757" t="inlineStr"/>
      <c r="J757" t="n">
        <v>1</v>
      </c>
      <c r="K757" t="n">
        <v>3</v>
      </c>
      <c r="L757" s="5">
        <f>HYPERLINK("https://api.qogita.com/variants/link/8003670911883/", "View Product")</f>
        <v/>
      </c>
    </row>
    <row r="758">
      <c r="A758" t="inlineStr">
        <is>
          <t>8008981003043</t>
        </is>
      </c>
      <c r="B758" t="inlineStr">
        <is>
          <t>Lucida Unghie 2202408003000</t>
        </is>
      </c>
      <c r="C758" t="inlineStr">
        <is>
          <t>Nail Care</t>
        </is>
      </c>
      <c r="D758" t="inlineStr">
        <is>
          <t>Farmac-Zabban</t>
        </is>
      </c>
      <c r="E758" t="n">
        <v>3.11</v>
      </c>
      <c r="F758" t="n">
        <v>1</v>
      </c>
      <c r="G758" t="n">
        <v>7</v>
      </c>
      <c r="H758" t="inlineStr">
        <is>
          <t>No</t>
        </is>
      </c>
      <c r="I758" t="inlineStr"/>
      <c r="J758" t="n">
        <v>1</v>
      </c>
      <c r="K758" t="n">
        <v>7</v>
      </c>
      <c r="L758" s="5">
        <f>HYPERLINK("https://api.qogita.com/variants/link/8008981003043/", "View Product")</f>
        <v/>
      </c>
    </row>
    <row r="759">
      <c r="A759" t="inlineStr">
        <is>
          <t>8008981025007</t>
        </is>
      </c>
      <c r="B759" t="inlineStr">
        <is>
          <t>Pedi Nail Cutter</t>
        </is>
      </c>
      <c r="C759" t="inlineStr">
        <is>
          <t>Nail Clippers &amp; Tools</t>
        </is>
      </c>
      <c r="D759" t="inlineStr">
        <is>
          <t>Farmac-Zabban</t>
        </is>
      </c>
      <c r="E759" t="n">
        <v>3.13</v>
      </c>
      <c r="F759" t="n">
        <v>1</v>
      </c>
      <c r="G759" t="n">
        <v>3</v>
      </c>
      <c r="H759" t="inlineStr">
        <is>
          <t>No</t>
        </is>
      </c>
      <c r="I759" t="inlineStr"/>
      <c r="J759" t="n">
        <v>1</v>
      </c>
      <c r="K759" t="n">
        <v>3</v>
      </c>
      <c r="L759" s="5">
        <f>HYPERLINK("https://api.qogita.com/variants/link/8008981025007/", "View Product")</f>
        <v/>
      </c>
    </row>
    <row r="760">
      <c r="A760" t="inlineStr">
        <is>
          <t>8008981220600</t>
        </is>
      </c>
      <c r="B760" t="inlineStr">
        <is>
          <t>Bios Line Nail File Set 10 Pieces 5 Inch Cardboard</t>
        </is>
      </c>
      <c r="C760" t="inlineStr">
        <is>
          <t>Nail Care Sets</t>
        </is>
      </c>
      <c r="D760" t="inlineStr">
        <is>
          <t>Biosline</t>
        </is>
      </c>
      <c r="E760" t="n">
        <v>2.23</v>
      </c>
      <c r="F760" t="n">
        <v>1</v>
      </c>
      <c r="G760" t="n">
        <v>7</v>
      </c>
      <c r="H760" t="inlineStr">
        <is>
          <t>No</t>
        </is>
      </c>
      <c r="I760" t="inlineStr"/>
      <c r="J760" t="n">
        <v>1</v>
      </c>
      <c r="K760" t="n">
        <v>7</v>
      </c>
      <c r="L760" s="5">
        <f>HYPERLINK("https://api.qogita.com/variants/link/8008981220600/", "View Product")</f>
        <v/>
      </c>
    </row>
    <row r="761">
      <c r="A761" t="inlineStr">
        <is>
          <t>8016527000647</t>
        </is>
      </c>
      <c r="B761" t="inlineStr">
        <is>
          <t>Rev Pharmabio Rev Us Onychomycosis Treatment Kit 2 Tubes 15ml</t>
        </is>
      </c>
      <c r="C761" t="inlineStr">
        <is>
          <t>Nail Care</t>
        </is>
      </c>
      <c r="D761" t="inlineStr">
        <is>
          <t>Rev Pharmabio</t>
        </is>
      </c>
      <c r="E761" t="n">
        <v>15.17</v>
      </c>
      <c r="F761" t="n">
        <v>1</v>
      </c>
      <c r="G761" t="n">
        <v>4</v>
      </c>
      <c r="H761" t="inlineStr">
        <is>
          <t>No</t>
        </is>
      </c>
      <c r="I761" t="inlineStr"/>
      <c r="J761" t="n">
        <v>1</v>
      </c>
      <c r="K761" t="n">
        <v>4</v>
      </c>
      <c r="L761" s="5">
        <f>HYPERLINK("https://api.qogita.com/variants/link/8016527000647/", "View Product")</f>
        <v/>
      </c>
    </row>
    <row r="762">
      <c r="A762" t="inlineStr">
        <is>
          <t>8019029000702</t>
        </is>
      </c>
      <c r="B762" t="inlineStr">
        <is>
          <t>Ideco Plakkontrol Minigrip Scovolino 07 Mm 10 Pieces</t>
        </is>
      </c>
      <c r="C762" t="inlineStr">
        <is>
          <t>Nail Clippers &amp; Tools</t>
        </is>
      </c>
      <c r="D762" t="inlineStr">
        <is>
          <t>Ideco</t>
        </is>
      </c>
      <c r="E762" t="n">
        <v>4.75</v>
      </c>
      <c r="F762" t="n">
        <v>1</v>
      </c>
      <c r="G762" t="n">
        <v>60</v>
      </c>
      <c r="H762" t="inlineStr">
        <is>
          <t>No</t>
        </is>
      </c>
      <c r="I762" t="inlineStr"/>
      <c r="J762" t="n">
        <v>2</v>
      </c>
      <c r="K762" t="n">
        <v>127</v>
      </c>
      <c r="L762" s="5">
        <f>HYPERLINK("https://api.qogita.com/variants/link/8019029000702/", "View Product")</f>
        <v/>
      </c>
    </row>
    <row r="763">
      <c r="A763" t="inlineStr">
        <is>
          <t>8023568145206</t>
        </is>
      </c>
      <c r="B763" t="inlineStr">
        <is>
          <t>Tecnica Nail Clippers</t>
        </is>
      </c>
      <c r="C763" t="inlineStr">
        <is>
          <t>Nail Clippers &amp; Tools</t>
        </is>
      </c>
      <c r="D763" t="inlineStr">
        <is>
          <t>Tecnica</t>
        </is>
      </c>
      <c r="E763" t="n">
        <v>8.720000000000001</v>
      </c>
      <c r="F763" t="n">
        <v>1</v>
      </c>
      <c r="G763" t="n">
        <v>5</v>
      </c>
      <c r="H763" t="inlineStr">
        <is>
          <t>No</t>
        </is>
      </c>
      <c r="I763" t="inlineStr"/>
      <c r="J763" t="n">
        <v>1</v>
      </c>
      <c r="K763" t="n">
        <v>5</v>
      </c>
      <c r="L763" s="5">
        <f>HYPERLINK("https://api.qogita.com/variants/link/8023568145206/", "View Product")</f>
        <v/>
      </c>
    </row>
    <row r="764">
      <c r="A764" t="inlineStr">
        <is>
          <t>8023568145251</t>
        </is>
      </c>
      <c r="B764" t="inlineStr">
        <is>
          <t>Tecniwork Thin and Flexible Nail Scissors</t>
        </is>
      </c>
      <c r="C764" t="inlineStr">
        <is>
          <t>Nail Clippers &amp; Tools</t>
        </is>
      </c>
      <c r="D764" t="inlineStr">
        <is>
          <t>Tecniwork</t>
        </is>
      </c>
      <c r="E764" t="n">
        <v>7.6</v>
      </c>
      <c r="F764" t="n">
        <v>1</v>
      </c>
      <c r="G764" t="n">
        <v>14</v>
      </c>
      <c r="H764" t="inlineStr">
        <is>
          <t>No</t>
        </is>
      </c>
      <c r="I764" t="inlineStr"/>
      <c r="J764" t="n">
        <v>1</v>
      </c>
      <c r="K764" t="n">
        <v>14</v>
      </c>
      <c r="L764" s="5">
        <f>HYPERLINK("https://api.qogita.com/variants/link/8023568145251/", "View Product")</f>
        <v/>
      </c>
    </row>
    <row r="765">
      <c r="A765" t="inlineStr">
        <is>
          <t>8023568145282</t>
        </is>
      </c>
      <c r="B765" t="inlineStr">
        <is>
          <t>Hand Nail Clipper</t>
        </is>
      </c>
      <c r="C765" t="inlineStr">
        <is>
          <t>Nail Clippers &amp; Tools</t>
        </is>
      </c>
      <c r="D765" t="inlineStr">
        <is>
          <t>Tecniwork</t>
        </is>
      </c>
      <c r="E765" t="n">
        <v>3.58</v>
      </c>
      <c r="F765" t="n">
        <v>1</v>
      </c>
      <c r="G765" t="n">
        <v>18</v>
      </c>
      <c r="H765" t="inlineStr">
        <is>
          <t>No</t>
        </is>
      </c>
      <c r="I765" t="inlineStr"/>
      <c r="J765" t="n">
        <v>1</v>
      </c>
      <c r="K765" t="n">
        <v>18</v>
      </c>
      <c r="L765" s="5">
        <f>HYPERLINK("https://api.qogita.com/variants/link/8023568145282/", "View Product")</f>
        <v/>
      </c>
    </row>
    <row r="766">
      <c r="A766" t="inlineStr">
        <is>
          <t>8023568145299</t>
        </is>
      </c>
      <c r="B766" t="inlineStr">
        <is>
          <t>Tecniwork Foot Nail Clipper</t>
        </is>
      </c>
      <c r="C766" t="inlineStr">
        <is>
          <t>Nail Clippers &amp; Tools</t>
        </is>
      </c>
      <c r="D766" t="inlineStr">
        <is>
          <t>Tecnica</t>
        </is>
      </c>
      <c r="E766" t="n">
        <v>4.46</v>
      </c>
      <c r="F766" t="n">
        <v>1</v>
      </c>
      <c r="G766" t="n">
        <v>12</v>
      </c>
      <c r="H766" t="inlineStr">
        <is>
          <t>No</t>
        </is>
      </c>
      <c r="I766" t="inlineStr"/>
      <c r="J766" t="n">
        <v>1</v>
      </c>
      <c r="K766" t="n">
        <v>12</v>
      </c>
      <c r="L766" s="5">
        <f>HYPERLINK("https://api.qogita.com/variants/link/8023568145299/", "View Product")</f>
        <v/>
      </c>
    </row>
    <row r="767">
      <c r="A767" t="inlineStr">
        <is>
          <t>8023568145312</t>
        </is>
      </c>
      <c r="B767" t="inlineStr">
        <is>
          <t>Tecniwork Hand Nail File</t>
        </is>
      </c>
      <c r="C767" t="inlineStr">
        <is>
          <t>Nail Care</t>
        </is>
      </c>
      <c r="D767" t="inlineStr">
        <is>
          <t>Tecnica</t>
        </is>
      </c>
      <c r="E767" t="n">
        <v>2.37</v>
      </c>
      <c r="F767" t="n">
        <v>1</v>
      </c>
      <c r="G767" t="n">
        <v>24</v>
      </c>
      <c r="H767" t="inlineStr">
        <is>
          <t>No</t>
        </is>
      </c>
      <c r="I767" t="inlineStr"/>
      <c r="J767" t="n">
        <v>2</v>
      </c>
      <c r="K767" t="n">
        <v>48</v>
      </c>
      <c r="L767" s="5">
        <f>HYPERLINK("https://api.qogita.com/variants/link/8023568145312/", "View Product")</f>
        <v/>
      </c>
    </row>
    <row r="768">
      <c r="A768" t="inlineStr">
        <is>
          <t>8023568145329</t>
        </is>
      </c>
      <c r="B768" t="inlineStr">
        <is>
          <t>Tecniwork Foot Nail File</t>
        </is>
      </c>
      <c r="C768" t="inlineStr">
        <is>
          <t>Nail Clippers &amp; Tools</t>
        </is>
      </c>
      <c r="D768" t="inlineStr">
        <is>
          <t>Tecnology</t>
        </is>
      </c>
      <c r="E768" t="n">
        <v>2.23</v>
      </c>
      <c r="F768" t="n">
        <v>1</v>
      </c>
      <c r="G768" t="n">
        <v>16</v>
      </c>
      <c r="H768" t="inlineStr">
        <is>
          <t>No</t>
        </is>
      </c>
      <c r="I768" t="inlineStr"/>
      <c r="J768" t="n">
        <v>1</v>
      </c>
      <c r="K768" t="n">
        <v>16</v>
      </c>
      <c r="L768" s="5">
        <f>HYPERLINK("https://api.qogita.com/variants/link/8023568145329/", "View Product")</f>
        <v/>
      </c>
    </row>
    <row r="769">
      <c r="A769" t="inlineStr">
        <is>
          <t>8029041139915</t>
        </is>
      </c>
      <c r="B769" t="inlineStr">
        <is>
          <t>Onails Onix Solution for Nail Biting</t>
        </is>
      </c>
      <c r="C769" t="inlineStr">
        <is>
          <t>Nail Care</t>
        </is>
      </c>
      <c r="D769" t="inlineStr">
        <is>
          <t>Bionike</t>
        </is>
      </c>
      <c r="E769" t="n">
        <v>7.27</v>
      </c>
      <c r="F769" t="n">
        <v>1</v>
      </c>
      <c r="G769" t="n">
        <v>1</v>
      </c>
      <c r="H769" t="inlineStr">
        <is>
          <t>No</t>
        </is>
      </c>
      <c r="I769" t="inlineStr"/>
      <c r="J769" t="n">
        <v>1</v>
      </c>
      <c r="K769" t="n">
        <v>1</v>
      </c>
      <c r="L769" s="5">
        <f>HYPERLINK("https://api.qogita.com/variants/link/8029041139915/", "View Product")</f>
        <v/>
      </c>
    </row>
    <row r="770">
      <c r="A770" t="inlineStr">
        <is>
          <t>8032680991417</t>
        </is>
      </c>
      <c r="B770" t="inlineStr">
        <is>
          <t>Beautytime Chiropody Pliers 12cm</t>
        </is>
      </c>
      <c r="C770" t="inlineStr">
        <is>
          <t>Nail Clippers &amp; Tools</t>
        </is>
      </c>
      <c r="D770" t="inlineStr">
        <is>
          <t>Beautytime</t>
        </is>
      </c>
      <c r="E770" t="n">
        <v>10.36</v>
      </c>
      <c r="F770" t="n">
        <v>1</v>
      </c>
      <c r="G770" t="n">
        <v>3</v>
      </c>
      <c r="H770" t="inlineStr">
        <is>
          <t>No</t>
        </is>
      </c>
      <c r="I770" t="inlineStr"/>
      <c r="J770" t="n">
        <v>1</v>
      </c>
      <c r="K770" t="n">
        <v>3</v>
      </c>
      <c r="L770" s="5">
        <f>HYPERLINK("https://api.qogita.com/variants/link/8032680991417/", "View Product")</f>
        <v/>
      </c>
    </row>
    <row r="771">
      <c r="A771" t="inlineStr">
        <is>
          <t>8032680991530</t>
        </is>
      </c>
      <c r="B771" t="inlineStr">
        <is>
          <t>Beautytime Professional Nail Clipper For Feet</t>
        </is>
      </c>
      <c r="C771" t="inlineStr">
        <is>
          <t>Nail Clippers &amp; Tools</t>
        </is>
      </c>
      <c r="D771" t="inlineStr">
        <is>
          <t>Beautytime</t>
        </is>
      </c>
      <c r="E771" t="n">
        <v>2.85</v>
      </c>
      <c r="F771" t="n">
        <v>1</v>
      </c>
      <c r="G771" t="n">
        <v>9</v>
      </c>
      <c r="H771" t="inlineStr">
        <is>
          <t>No</t>
        </is>
      </c>
      <c r="I771" t="inlineStr"/>
      <c r="J771" t="n">
        <v>1</v>
      </c>
      <c r="K771" t="n">
        <v>9</v>
      </c>
      <c r="L771" s="5">
        <f>HYPERLINK("https://api.qogita.com/variants/link/8032680991530/", "View Product")</f>
        <v/>
      </c>
    </row>
    <row r="772">
      <c r="A772" t="inlineStr">
        <is>
          <t>8032680991547</t>
        </is>
      </c>
      <c r="B772" t="inlineStr">
        <is>
          <t>Beautytime Safety Baby Nail Clipper 7.5 x 1.5 x 15 cm</t>
        </is>
      </c>
      <c r="C772" t="inlineStr">
        <is>
          <t>Nail Clippers &amp; Tools</t>
        </is>
      </c>
      <c r="D772" t="inlineStr">
        <is>
          <t>Beautétime</t>
        </is>
      </c>
      <c r="E772" t="n">
        <v>1.23</v>
      </c>
      <c r="F772" t="n">
        <v>1</v>
      </c>
      <c r="G772" t="n">
        <v>60</v>
      </c>
      <c r="H772" t="inlineStr">
        <is>
          <t>No</t>
        </is>
      </c>
      <c r="I772" t="inlineStr"/>
      <c r="J772" t="n">
        <v>2</v>
      </c>
      <c r="K772" t="n">
        <v>134</v>
      </c>
      <c r="L772" s="5">
        <f>HYPERLINK("https://api.qogita.com/variants/link/8032680991547/", "View Product")</f>
        <v/>
      </c>
    </row>
    <row r="773">
      <c r="A773" t="inlineStr">
        <is>
          <t>8032738384635</t>
        </is>
      </c>
      <c r="B773" t="inlineStr">
        <is>
          <t>Dermovitamina MICOBLOCK Nail Tincture 7ml</t>
        </is>
      </c>
      <c r="C773" t="inlineStr">
        <is>
          <t>Nail Oil</t>
        </is>
      </c>
      <c r="D773" t="inlineStr">
        <is>
          <t>Micoblock</t>
        </is>
      </c>
      <c r="E773" t="n">
        <v>10.56</v>
      </c>
      <c r="F773" t="n">
        <v>1</v>
      </c>
      <c r="G773" t="n">
        <v>11</v>
      </c>
      <c r="H773" t="inlineStr">
        <is>
          <t>No</t>
        </is>
      </c>
      <c r="I773" t="inlineStr"/>
      <c r="J773" t="n">
        <v>2</v>
      </c>
      <c r="K773" t="n">
        <v>106</v>
      </c>
      <c r="L773" s="5">
        <f>HYPERLINK("https://api.qogita.com/variants/link/8032738384635/", "View Product")</f>
        <v/>
      </c>
    </row>
    <row r="774">
      <c r="A774" t="inlineStr">
        <is>
          <t>8032738385359</t>
        </is>
      </c>
      <c r="B774" t="inlineStr">
        <is>
          <t>Dermovitamina Micoblock Treat and Color 3in1 Nail Solution 12ml</t>
        </is>
      </c>
      <c r="C774" t="inlineStr">
        <is>
          <t>Nail Care</t>
        </is>
      </c>
      <c r="D774" t="inlineStr">
        <is>
          <t>Dermovitamina</t>
        </is>
      </c>
      <c r="E774" t="n">
        <v>11.57</v>
      </c>
      <c r="F774" t="n">
        <v>1</v>
      </c>
      <c r="G774" t="n">
        <v>5</v>
      </c>
      <c r="H774" t="inlineStr">
        <is>
          <t>No</t>
        </is>
      </c>
      <c r="I774" t="inlineStr"/>
      <c r="J774" t="n">
        <v>2</v>
      </c>
      <c r="K774" t="n">
        <v>104</v>
      </c>
      <c r="L774" s="5">
        <f>HYPERLINK("https://api.qogita.com/variants/link/8032738385359/", "View Product")</f>
        <v/>
      </c>
    </row>
    <row r="775">
      <c r="A775" t="inlineStr">
        <is>
          <t>8032738385601</t>
        </is>
      </c>
      <c r="B775" t="inlineStr">
        <is>
          <t>Dermovitamina Micoblock 3 In 1 Hydrating And Breathable Nail Polish 5 Milliliters</t>
        </is>
      </c>
      <c r="C775" t="inlineStr">
        <is>
          <t>Nail Oil</t>
        </is>
      </c>
      <c r="D775" t="inlineStr">
        <is>
          <t>Dermovitamina</t>
        </is>
      </c>
      <c r="E775" t="n">
        <v>3.64</v>
      </c>
      <c r="F775" t="n">
        <v>1</v>
      </c>
      <c r="G775" t="n">
        <v>34</v>
      </c>
      <c r="H775" t="inlineStr">
        <is>
          <t>No</t>
        </is>
      </c>
      <c r="I775" t="inlineStr"/>
      <c r="J775" t="n">
        <v>2</v>
      </c>
      <c r="K775" t="n">
        <v>73</v>
      </c>
      <c r="L775" s="5">
        <f>HYPERLINK("https://api.qogita.com/variants/link/8032738385601/", "View Product")</f>
        <v/>
      </c>
    </row>
    <row r="776">
      <c r="A776" t="inlineStr">
        <is>
          <t>8032738385632</t>
        </is>
      </c>
      <c r="B776" t="inlineStr">
        <is>
          <t>Dermovitamina Mico Nail Polish Blue</t>
        </is>
      </c>
      <c r="C776" t="inlineStr">
        <is>
          <t>Nail Oil</t>
        </is>
      </c>
      <c r="D776" t="inlineStr">
        <is>
          <t>Dermovitamina</t>
        </is>
      </c>
      <c r="E776" t="n">
        <v>3.62</v>
      </c>
      <c r="F776" t="n">
        <v>1</v>
      </c>
      <c r="G776" t="n">
        <v>5</v>
      </c>
      <c r="H776" t="inlineStr">
        <is>
          <t>No</t>
        </is>
      </c>
      <c r="I776" t="inlineStr"/>
      <c r="J776" t="n">
        <v>2</v>
      </c>
      <c r="K776" t="n">
        <v>37</v>
      </c>
      <c r="L776" s="5">
        <f>HYPERLINK("https://api.qogita.com/variants/link/8032738385632/", "View Product")</f>
        <v/>
      </c>
    </row>
    <row r="777">
      <c r="A777" t="inlineStr">
        <is>
          <t>8032738385922</t>
        </is>
      </c>
      <c r="B777" t="inlineStr">
        <is>
          <t>Dermovitamina Micoblok 3in1 Solution for Nail Care 7ml</t>
        </is>
      </c>
      <c r="C777" t="inlineStr">
        <is>
          <t>Nail Oil</t>
        </is>
      </c>
      <c r="D777" t="inlineStr">
        <is>
          <t>Pasquali</t>
        </is>
      </c>
      <c r="E777" t="n">
        <v>9.01</v>
      </c>
      <c r="F777" t="n">
        <v>1</v>
      </c>
      <c r="G777" t="n">
        <v>1</v>
      </c>
      <c r="H777" t="inlineStr">
        <is>
          <t>No</t>
        </is>
      </c>
      <c r="I777" t="inlineStr"/>
      <c r="J777" t="n">
        <v>2</v>
      </c>
      <c r="K777" t="n">
        <v>52</v>
      </c>
      <c r="L777" s="5">
        <f>HYPERLINK("https://api.qogita.com/variants/link/8032738385922/", "View Product")</f>
        <v/>
      </c>
    </row>
    <row r="778">
      <c r="A778" t="inlineStr">
        <is>
          <t>8032738386288</t>
        </is>
      </c>
      <c r="B778" t="inlineStr">
        <is>
          <t>Dermovitamina Mico Nail Detox Gel for Nail Care 2ml</t>
        </is>
      </c>
      <c r="C778" t="inlineStr">
        <is>
          <t>Cuticle Removers</t>
        </is>
      </c>
      <c r="D778" t="inlineStr">
        <is>
          <t>Dermovitamina</t>
        </is>
      </c>
      <c r="E778" t="n">
        <v>10.18</v>
      </c>
      <c r="F778" t="n">
        <v>1</v>
      </c>
      <c r="G778" t="n">
        <v>5</v>
      </c>
      <c r="H778" t="inlineStr">
        <is>
          <t>No</t>
        </is>
      </c>
      <c r="I778" t="inlineStr"/>
      <c r="J778" t="n">
        <v>1</v>
      </c>
      <c r="K778" t="n">
        <v>5</v>
      </c>
      <c r="L778" s="5">
        <f>HYPERLINK("https://api.qogita.com/variants/link/8032738386288/", "View Product")</f>
        <v/>
      </c>
    </row>
    <row r="779">
      <c r="A779" t="inlineStr">
        <is>
          <t>8032738386639</t>
        </is>
      </c>
      <c r="B779" t="inlineStr">
        <is>
          <t>Dermovitamina Onychomycosis Patch Effective Treatment For Nail Fungus</t>
        </is>
      </c>
      <c r="C779" t="inlineStr">
        <is>
          <t>Cuticle Removers</t>
        </is>
      </c>
      <c r="D779" t="inlineStr">
        <is>
          <t>Dermovitamina</t>
        </is>
      </c>
      <c r="E779" t="n">
        <v>7.47</v>
      </c>
      <c r="F779" t="n">
        <v>1</v>
      </c>
      <c r="G779" t="n">
        <v>2</v>
      </c>
      <c r="H779" t="inlineStr">
        <is>
          <t>No</t>
        </is>
      </c>
      <c r="I779" t="inlineStr"/>
      <c r="J779" t="n">
        <v>1</v>
      </c>
      <c r="K779" t="n">
        <v>2</v>
      </c>
      <c r="L779" s="5">
        <f>HYPERLINK("https://api.qogita.com/variants/link/8032738386639/", "View Product")</f>
        <v/>
      </c>
    </row>
    <row r="780">
      <c r="A780" t="inlineStr">
        <is>
          <t>8033875136897</t>
        </is>
      </c>
      <c r="B780" t="inlineStr">
        <is>
          <t>Olive N23 10ml Drop Gun</t>
        </is>
      </c>
      <c r="C780" t="inlineStr">
        <is>
          <t>Nail Oil</t>
        </is>
      </c>
      <c r="D780" t="inlineStr">
        <is>
          <t>Guna</t>
        </is>
      </c>
      <c r="E780" t="n">
        <v>6.72</v>
      </c>
      <c r="F780" t="n">
        <v>1</v>
      </c>
      <c r="G780" t="n">
        <v>4</v>
      </c>
      <c r="H780" t="inlineStr">
        <is>
          <t>No</t>
        </is>
      </c>
      <c r="I780" t="inlineStr"/>
      <c r="J780" t="n">
        <v>1</v>
      </c>
      <c r="K780" t="n">
        <v>4</v>
      </c>
      <c r="L780" s="5">
        <f>HYPERLINK("https://api.qogita.com/variants/link/8033875136897/", "View Product")</f>
        <v/>
      </c>
    </row>
    <row r="781">
      <c r="A781" t="inlineStr">
        <is>
          <t>8050519571302</t>
        </is>
      </c>
      <c r="B781" t="inlineStr">
        <is>
          <t>Marcovitifarmac Nail Treatment 5ml</t>
        </is>
      </c>
      <c r="C781" t="inlineStr">
        <is>
          <t>Nail Oil</t>
        </is>
      </c>
      <c r="D781" t="inlineStr">
        <is>
          <t>Unghiasil</t>
        </is>
      </c>
      <c r="E781" t="n">
        <v>4.92</v>
      </c>
      <c r="F781" t="n">
        <v>1</v>
      </c>
      <c r="G781" t="n">
        <v>3</v>
      </c>
      <c r="H781" t="inlineStr">
        <is>
          <t>No</t>
        </is>
      </c>
      <c r="I781" t="inlineStr"/>
      <c r="J781" t="n">
        <v>2</v>
      </c>
      <c r="K781" t="n">
        <v>73</v>
      </c>
      <c r="L781" s="5">
        <f>HYPERLINK("https://api.qogita.com/variants/link/8050519571302/", "View Product")</f>
        <v/>
      </c>
    </row>
    <row r="782">
      <c r="A782" t="inlineStr">
        <is>
          <t>8051884630212</t>
        </is>
      </c>
      <c r="B782" t="inlineStr">
        <is>
          <t>Altrapelle Medical Onychomycosis Nail Solution 7 Milliliters</t>
        </is>
      </c>
      <c r="C782" t="inlineStr">
        <is>
          <t>Nail Oil</t>
        </is>
      </c>
      <c r="D782" t="inlineStr">
        <is>
          <t>Altrapel</t>
        </is>
      </c>
      <c r="E782" t="n">
        <v>8.390000000000001</v>
      </c>
      <c r="F782" t="n">
        <v>1</v>
      </c>
      <c r="G782" t="n">
        <v>3</v>
      </c>
      <c r="H782" t="inlineStr">
        <is>
          <t>No</t>
        </is>
      </c>
      <c r="I782" t="inlineStr"/>
      <c r="J782" t="n">
        <v>1</v>
      </c>
      <c r="K782" t="n">
        <v>3</v>
      </c>
      <c r="L782" s="5">
        <f>HYPERLINK("https://api.qogita.com/variants/link/8051884630212/", "View Product")</f>
        <v/>
      </c>
    </row>
    <row r="783">
      <c r="A783" t="inlineStr">
        <is>
          <t>8052432438823</t>
        </is>
      </c>
      <c r="B783" t="inlineStr">
        <is>
          <t>Australian Company Tea Tree Solution for Nails 10ml</t>
        </is>
      </c>
      <c r="C783" t="inlineStr">
        <is>
          <t>Nail Oil</t>
        </is>
      </c>
      <c r="D783" t="inlineStr">
        <is>
          <t>Optima Naturals</t>
        </is>
      </c>
      <c r="E783" t="n">
        <v>5.32</v>
      </c>
      <c r="F783" t="n">
        <v>1</v>
      </c>
      <c r="G783" t="n">
        <v>3</v>
      </c>
      <c r="H783" t="inlineStr">
        <is>
          <t>No</t>
        </is>
      </c>
      <c r="I783" t="inlineStr"/>
      <c r="J783" t="n">
        <v>1</v>
      </c>
      <c r="K783" t="n">
        <v>3</v>
      </c>
      <c r="L783" s="5">
        <f>HYPERLINK("https://api.qogita.com/variants/link/8052432438823/", "View Product")</f>
        <v/>
      </c>
    </row>
    <row r="784">
      <c r="A784" t="inlineStr">
        <is>
          <t>8052693920273</t>
        </is>
      </c>
      <c r="B784" t="inlineStr">
        <is>
          <t>Footcare Nail Brush 8ml</t>
        </is>
      </c>
      <c r="C784" t="inlineStr">
        <is>
          <t>Nail Care</t>
        </is>
      </c>
      <c r="D784" t="inlineStr">
        <is>
          <t>Footcare</t>
        </is>
      </c>
      <c r="E784" t="n">
        <v>7.04</v>
      </c>
      <c r="F784" t="n">
        <v>1</v>
      </c>
      <c r="G784" t="n">
        <v>20</v>
      </c>
      <c r="H784" t="inlineStr">
        <is>
          <t>No</t>
        </is>
      </c>
      <c r="I784" t="inlineStr"/>
      <c r="J784" t="n">
        <v>1</v>
      </c>
      <c r="K784" t="n">
        <v>20</v>
      </c>
      <c r="L784" s="5">
        <f>HYPERLINK("https://api.qogita.com/variants/link/8052693920273/", "View Product")</f>
        <v/>
      </c>
    </row>
    <row r="785">
      <c r="A785" t="inlineStr">
        <is>
          <t>8055765860095</t>
        </is>
      </c>
      <c r="B785" t="inlineStr">
        <is>
          <t>Morgan Miconal Nail Polish Treatment For Mycosis 8 Milliliters</t>
        </is>
      </c>
      <c r="C785" t="inlineStr">
        <is>
          <t>Nail Oil</t>
        </is>
      </c>
      <c r="D785" t="inlineStr">
        <is>
          <t>Morgane</t>
        </is>
      </c>
      <c r="E785" t="n">
        <v>14.8</v>
      </c>
      <c r="F785" t="n">
        <v>1</v>
      </c>
      <c r="G785" t="n">
        <v>1</v>
      </c>
      <c r="H785" t="inlineStr">
        <is>
          <t>No</t>
        </is>
      </c>
      <c r="I785" t="inlineStr"/>
      <c r="J785" t="n">
        <v>2</v>
      </c>
      <c r="K785" t="n">
        <v>52</v>
      </c>
      <c r="L785" s="5">
        <f>HYPERLINK("https://api.qogita.com/variants/link/8055765860095/", "View Product")</f>
        <v/>
      </c>
    </row>
    <row r="786">
      <c r="A786" t="inlineStr">
        <is>
          <t>8058090003861</t>
        </is>
      </c>
      <c r="B786" t="inlineStr">
        <is>
          <t>Pic Pic Delicate Strips Large 10 Pieces</t>
        </is>
      </c>
      <c r="C786" t="inlineStr">
        <is>
          <t>Cuticle Removers</t>
        </is>
      </c>
      <c r="D786" t="inlineStr">
        <is>
          <t>Pic</t>
        </is>
      </c>
      <c r="E786" t="n">
        <v>1.34</v>
      </c>
      <c r="F786" t="n">
        <v>1</v>
      </c>
      <c r="G786" t="n">
        <v>3</v>
      </c>
      <c r="H786" t="inlineStr">
        <is>
          <t>No</t>
        </is>
      </c>
      <c r="I786" t="inlineStr"/>
      <c r="J786" t="n">
        <v>1</v>
      </c>
      <c r="K786" t="n">
        <v>3</v>
      </c>
      <c r="L786" s="5">
        <f>HYPERLINK("https://api.qogita.com/variants/link/8058090003861/", "View Product")</f>
        <v/>
      </c>
    </row>
    <row r="787">
      <c r="A787" t="inlineStr">
        <is>
          <t>8059591580967</t>
        </is>
      </c>
      <c r="B787" t="inlineStr">
        <is>
          <t>Salugea Luxgea Nail Health Capsules 60 Capsules</t>
        </is>
      </c>
      <c r="C787" t="inlineStr">
        <is>
          <t>Nail Oil</t>
        </is>
      </c>
      <c r="D787" t="inlineStr">
        <is>
          <t>Salugea</t>
        </is>
      </c>
      <c r="E787" t="n">
        <v>26.68</v>
      </c>
      <c r="F787" t="n">
        <v>1</v>
      </c>
      <c r="G787" t="n">
        <v>3</v>
      </c>
      <c r="H787" t="inlineStr">
        <is>
          <t>No</t>
        </is>
      </c>
      <c r="I787" t="inlineStr"/>
      <c r="J787" t="n">
        <v>1</v>
      </c>
      <c r="K787" t="n">
        <v>3</v>
      </c>
      <c r="L787" s="5">
        <f>HYPERLINK("https://api.qogita.com/variants/link/8059591580967/", "View Product")</f>
        <v/>
      </c>
    </row>
    <row r="788">
      <c r="A788" t="inlineStr">
        <is>
          <t>8019029000719</t>
        </is>
      </c>
      <c r="B788" t="inlineStr">
        <is>
          <t>Ideco Plakkontrol Minigrip Scovolino 08 Mm 10 Pieces</t>
        </is>
      </c>
      <c r="C788" t="inlineStr">
        <is>
          <t>Nail Clippers &amp; Tools</t>
        </is>
      </c>
      <c r="D788" t="inlineStr">
        <is>
          <t>Ideco</t>
        </is>
      </c>
      <c r="E788" t="n">
        <v>4.87</v>
      </c>
      <c r="F788" t="n">
        <v>1</v>
      </c>
      <c r="G788" t="n">
        <v>51</v>
      </c>
      <c r="H788" t="inlineStr">
        <is>
          <t>No</t>
        </is>
      </c>
      <c r="I788" t="inlineStr"/>
      <c r="J788" t="n">
        <v>1</v>
      </c>
      <c r="K788" t="n">
        <v>51</v>
      </c>
      <c r="L788" s="5">
        <f>HYPERLINK("https://api.qogita.com/variants/link/8019029000719/", "View Product")</f>
        <v/>
      </c>
    </row>
    <row r="789">
      <c r="A789" t="inlineStr">
        <is>
          <t>8050519570503</t>
        </is>
      </c>
      <c r="B789" t="inlineStr">
        <is>
          <t>SOS Onicofagia Unghiasil Invisible Nail Polish 10ml</t>
        </is>
      </c>
      <c r="C789" t="inlineStr">
        <is>
          <t>Nail Oil</t>
        </is>
      </c>
      <c r="D789" t="inlineStr">
        <is>
          <t>Marco Viti Farmaceutici</t>
        </is>
      </c>
      <c r="E789" t="n">
        <v>7.36</v>
      </c>
      <c r="F789" t="n">
        <v>1</v>
      </c>
      <c r="G789" t="n">
        <v>52</v>
      </c>
      <c r="H789" t="inlineStr">
        <is>
          <t>No</t>
        </is>
      </c>
      <c r="I789" t="inlineStr"/>
      <c r="J789" t="n">
        <v>1</v>
      </c>
      <c r="K789" t="n">
        <v>52</v>
      </c>
      <c r="L789" s="5">
        <f>HYPERLINK("https://api.qogita.com/variants/link/8050519570503/", "View Product")</f>
        <v/>
      </c>
    </row>
    <row r="790">
      <c r="A790" t="inlineStr">
        <is>
          <t>5011501190010</t>
        </is>
      </c>
      <c r="B790" t="inlineStr">
        <is>
          <t>Stop n Grow Nail Biting Deterrent 7.5ml</t>
        </is>
      </c>
      <c r="C790" t="inlineStr">
        <is>
          <t>Nail Oil</t>
        </is>
      </c>
      <c r="D790" t="inlineStr">
        <is>
          <t>Stop &amp; Grow</t>
        </is>
      </c>
      <c r="E790" t="n">
        <v>2.63</v>
      </c>
      <c r="F790" t="n">
        <v>1</v>
      </c>
      <c r="G790" t="n">
        <v>120</v>
      </c>
      <c r="H790" t="inlineStr">
        <is>
          <t>No</t>
        </is>
      </c>
      <c r="I790" t="inlineStr"/>
      <c r="J790" t="n">
        <v>1</v>
      </c>
      <c r="K790" t="n">
        <v>120</v>
      </c>
      <c r="L790" s="5">
        <f>HYPERLINK("https://api.qogita.com/variants/link/5011501190010/", "View Product")</f>
        <v/>
      </c>
    </row>
    <row r="791">
      <c r="A791" t="inlineStr">
        <is>
          <t>4820121590046</t>
        </is>
      </c>
      <c r="B791" t="inlineStr">
        <is>
          <t>Staleks Cuticle Nippers Classic 10 6 Mm</t>
        </is>
      </c>
      <c r="C791" t="inlineStr">
        <is>
          <t>Nail Clippers &amp; Tools</t>
        </is>
      </c>
      <c r="D791" t="inlineStr">
        <is>
          <t>Staleks</t>
        </is>
      </c>
      <c r="E791" t="n">
        <v>8.59</v>
      </c>
      <c r="F791" t="n">
        <v>1</v>
      </c>
      <c r="G791" t="n">
        <v>10</v>
      </c>
      <c r="H791" t="inlineStr">
        <is>
          <t>No</t>
        </is>
      </c>
      <c r="I791" t="inlineStr"/>
      <c r="J791" t="n">
        <v>1</v>
      </c>
      <c r="K791" t="n">
        <v>10</v>
      </c>
      <c r="L791" s="5">
        <f>HYPERLINK("https://api.qogita.com/variants/link/4820121590046/", "View Product")</f>
        <v/>
      </c>
    </row>
    <row r="792">
      <c r="A792" t="inlineStr">
        <is>
          <t>4820121590374</t>
        </is>
      </c>
      <c r="B792" t="inlineStr">
        <is>
          <t>Staleks Smart 10 5 Mm Professional Cuticle Nippers</t>
        </is>
      </c>
      <c r="C792" t="inlineStr">
        <is>
          <t>Nail Clippers &amp; Tools</t>
        </is>
      </c>
      <c r="D792" t="inlineStr">
        <is>
          <t>Staleks</t>
        </is>
      </c>
      <c r="E792" t="n">
        <v>10.45</v>
      </c>
      <c r="F792" t="n">
        <v>1</v>
      </c>
      <c r="G792" t="n">
        <v>8</v>
      </c>
      <c r="H792" t="inlineStr">
        <is>
          <t>No</t>
        </is>
      </c>
      <c r="I792" t="inlineStr"/>
      <c r="J792" t="n">
        <v>1</v>
      </c>
      <c r="K792" t="n">
        <v>8</v>
      </c>
      <c r="L792" s="5">
        <f>HYPERLINK("https://api.qogita.com/variants/link/4820121590374/", "View Product")</f>
        <v/>
      </c>
    </row>
    <row r="793">
      <c r="A793" t="inlineStr">
        <is>
          <t>4820121594006</t>
        </is>
      </c>
      <c r="B793" t="inlineStr">
        <is>
          <t>Staleks Beauty &amp; Care Large Nail Clipper 10</t>
        </is>
      </c>
      <c r="C793" t="inlineStr">
        <is>
          <t>Nail Clippers &amp; Tools</t>
        </is>
      </c>
      <c r="D793" t="inlineStr">
        <is>
          <t>Staleks</t>
        </is>
      </c>
      <c r="E793" t="n">
        <v>2.65</v>
      </c>
      <c r="F793" t="n">
        <v>1</v>
      </c>
      <c r="G793" t="n">
        <v>12</v>
      </c>
      <c r="H793" t="inlineStr">
        <is>
          <t>No</t>
        </is>
      </c>
      <c r="I793" t="inlineStr"/>
      <c r="J793" t="n">
        <v>1</v>
      </c>
      <c r="K793" t="n">
        <v>12</v>
      </c>
      <c r="L793" s="5">
        <f>HYPERLINK("https://api.qogita.com/variants/link/4820121594006/", "View Product")</f>
        <v/>
      </c>
    </row>
    <row r="794">
      <c r="A794" t="inlineStr">
        <is>
          <t>4820121595638</t>
        </is>
      </c>
      <c r="B794" t="inlineStr">
        <is>
          <t>Pro Smart 71 Nail Correction Tool For Ingrown Nails 14mm</t>
        </is>
      </c>
      <c r="C794" t="inlineStr">
        <is>
          <t>Nail Clippers &amp; Tools</t>
        </is>
      </c>
      <c r="D794" t="inlineStr">
        <is>
          <t>ProSmart</t>
        </is>
      </c>
      <c r="E794" t="n">
        <v>11.57</v>
      </c>
      <c r="F794" t="n">
        <v>1</v>
      </c>
      <c r="G794" t="n">
        <v>20</v>
      </c>
      <c r="H794" t="inlineStr">
        <is>
          <t>No</t>
        </is>
      </c>
      <c r="I794" t="inlineStr"/>
      <c r="J794" t="n">
        <v>1</v>
      </c>
      <c r="K794" t="n">
        <v>20</v>
      </c>
      <c r="L794" s="5">
        <f>HYPERLINK("https://api.qogita.com/variants/link/4820121595638/", "View Product")</f>
        <v/>
      </c>
    </row>
    <row r="795">
      <c r="A795" t="inlineStr">
        <is>
          <t>4820241060306</t>
        </is>
      </c>
      <c r="B795" t="inlineStr">
        <is>
          <t>Staleks Nail Nippers Classic 63 14 Mm</t>
        </is>
      </c>
      <c r="C795" t="inlineStr">
        <is>
          <t>Nail Clippers &amp; Tools</t>
        </is>
      </c>
      <c r="D795" t="inlineStr">
        <is>
          <t>Staleks</t>
        </is>
      </c>
      <c r="E795" t="n">
        <v>8.59</v>
      </c>
      <c r="F795" t="n">
        <v>1</v>
      </c>
      <c r="G795" t="n">
        <v>23</v>
      </c>
      <c r="H795" t="inlineStr">
        <is>
          <t>No</t>
        </is>
      </c>
      <c r="I795" t="inlineStr"/>
      <c r="J795" t="n">
        <v>1</v>
      </c>
      <c r="K795" t="n">
        <v>23</v>
      </c>
      <c r="L795" s="5">
        <f>HYPERLINK("https://api.qogita.com/variants/link/4820241060306/", "View Product")</f>
        <v/>
      </c>
    </row>
    <row r="796">
      <c r="A796" t="inlineStr">
        <is>
          <t>4820241061556</t>
        </is>
      </c>
      <c r="B796" t="inlineStr">
        <is>
          <t>Staleks Classic 62 Type 2 Nail Scissors</t>
        </is>
      </c>
      <c r="C796" t="inlineStr">
        <is>
          <t>Nail Clippers &amp; Tools</t>
        </is>
      </c>
      <c r="D796" t="inlineStr">
        <is>
          <t>Staleks</t>
        </is>
      </c>
      <c r="E796" t="n">
        <v>4.28</v>
      </c>
      <c r="F796" t="n">
        <v>1</v>
      </c>
      <c r="G796" t="n">
        <v>31</v>
      </c>
      <c r="H796" t="inlineStr">
        <is>
          <t>No</t>
        </is>
      </c>
      <c r="I796" t="inlineStr"/>
      <c r="J796" t="n">
        <v>1</v>
      </c>
      <c r="K796" t="n">
        <v>31</v>
      </c>
      <c r="L796" s="5">
        <f>HYPERLINK("https://api.qogita.com/variants/link/4820241061556/", "View Product")</f>
        <v/>
      </c>
    </row>
    <row r="797">
      <c r="A797" t="inlineStr">
        <is>
          <t>5900525051974</t>
        </is>
      </c>
      <c r="B797" t="inlineStr">
        <is>
          <t>Celia Nail Expert Nail and Cuticle Oil</t>
        </is>
      </c>
      <c r="C797" t="inlineStr">
        <is>
          <t>Nail Oil</t>
        </is>
      </c>
      <c r="D797" t="inlineStr">
        <is>
          <t>Cosmelogia</t>
        </is>
      </c>
      <c r="E797" t="n">
        <v>2.16</v>
      </c>
      <c r="F797" t="n">
        <v>1</v>
      </c>
      <c r="G797" t="n">
        <v>42</v>
      </c>
      <c r="H797" t="inlineStr">
        <is>
          <t>No</t>
        </is>
      </c>
      <c r="I797" t="inlineStr"/>
      <c r="J797" t="n">
        <v>1</v>
      </c>
      <c r="K797" t="n">
        <v>42</v>
      </c>
      <c r="L797" s="5">
        <f>HYPERLINK("https://api.qogita.com/variants/link/5900525051974/", "View Product")</f>
        <v/>
      </c>
    </row>
    <row r="798">
      <c r="A798" t="inlineStr">
        <is>
          <t>5900525062826</t>
        </is>
      </c>
      <c r="B798" t="inlineStr">
        <is>
          <t>PERFECTA Extra Oils Silicone Hand Gloves Brems Oil for Hands Nails and Cuticles 195ml</t>
        </is>
      </c>
      <c r="C798" t="inlineStr">
        <is>
          <t>Nail Oil</t>
        </is>
      </c>
      <c r="D798" t="inlineStr">
        <is>
          <t>Perfecta</t>
        </is>
      </c>
      <c r="E798" t="n">
        <v>2</v>
      </c>
      <c r="F798" t="n">
        <v>1</v>
      </c>
      <c r="G798" t="n">
        <v>685</v>
      </c>
      <c r="H798" t="inlineStr">
        <is>
          <t>No</t>
        </is>
      </c>
      <c r="I798" t="inlineStr"/>
      <c r="J798" t="n">
        <v>1</v>
      </c>
      <c r="K798" t="n">
        <v>685</v>
      </c>
      <c r="L798" s="5">
        <f>HYPERLINK("https://api.qogita.com/variants/link/5900525062826/", "View Product")</f>
        <v/>
      </c>
    </row>
    <row r="799">
      <c r="A799" t="inlineStr">
        <is>
          <t>5901350467565</t>
        </is>
      </c>
      <c r="B799" t="inlineStr">
        <is>
          <t>Delia Nail Cuticle Nail Cleaner 100ml</t>
        </is>
      </c>
      <c r="C799" t="inlineStr">
        <is>
          <t>Cuticle Removers</t>
        </is>
      </c>
      <c r="D799" t="inlineStr">
        <is>
          <t>Cosmelogia</t>
        </is>
      </c>
      <c r="E799" t="n">
        <v>1.18</v>
      </c>
      <c r="F799" t="n">
        <v>1</v>
      </c>
      <c r="G799" t="n">
        <v>38</v>
      </c>
      <c r="H799" t="inlineStr">
        <is>
          <t>No</t>
        </is>
      </c>
      <c r="I799" t="inlineStr"/>
      <c r="J799" t="n">
        <v>1</v>
      </c>
      <c r="K799" t="n">
        <v>38</v>
      </c>
      <c r="L799" s="5">
        <f>HYPERLINK("https://api.qogita.com/variants/link/5901350467565/", "View Product")</f>
        <v/>
      </c>
    </row>
    <row r="800">
      <c r="A800" t="inlineStr">
        <is>
          <t>5901350485095</t>
        </is>
      </c>
      <c r="B800" t="inlineStr">
        <is>
          <t>Delia Cosmetics Nail Conditioner Extreme Hardener Nourishing</t>
        </is>
      </c>
      <c r="C800" t="inlineStr">
        <is>
          <t>Nail Oil</t>
        </is>
      </c>
      <c r="D800" t="inlineStr">
        <is>
          <t>Delia Cosmetics</t>
        </is>
      </c>
      <c r="E800" t="n">
        <v>2.03</v>
      </c>
      <c r="F800" t="n">
        <v>1</v>
      </c>
      <c r="G800" t="n">
        <v>27</v>
      </c>
      <c r="H800" t="inlineStr">
        <is>
          <t>No</t>
        </is>
      </c>
      <c r="I800" t="inlineStr"/>
      <c r="J800" t="n">
        <v>1</v>
      </c>
      <c r="K800" t="n">
        <v>27</v>
      </c>
      <c r="L800" s="5">
        <f>HYPERLINK("https://api.qogita.com/variants/link/5901350485095/", "View Product")</f>
        <v/>
      </c>
    </row>
    <row r="801">
      <c r="A801" t="inlineStr">
        <is>
          <t>5901350487013</t>
        </is>
      </c>
      <c r="B801" t="inlineStr">
        <is>
          <t>Delia Bio Nourishing Oil for Hybrid and Cuticles 10ml</t>
        </is>
      </c>
      <c r="C801" t="inlineStr">
        <is>
          <t>Nail Oil</t>
        </is>
      </c>
      <c r="D801" t="inlineStr">
        <is>
          <t>Delia Cosmetics</t>
        </is>
      </c>
      <c r="E801" t="n">
        <v>2.08</v>
      </c>
      <c r="F801" t="n">
        <v>1</v>
      </c>
      <c r="G801" t="n">
        <v>23</v>
      </c>
      <c r="H801" t="inlineStr">
        <is>
          <t>No</t>
        </is>
      </c>
      <c r="I801" t="inlineStr"/>
      <c r="J801" t="n">
        <v>1</v>
      </c>
      <c r="K801" t="n">
        <v>23</v>
      </c>
      <c r="L801" s="5">
        <f>HYPERLINK("https://api.qogita.com/variants/link/5901350487013/", "View Product")</f>
        <v/>
      </c>
    </row>
    <row r="802">
      <c r="A802" t="inlineStr">
        <is>
          <t>5901350487020</t>
        </is>
      </c>
      <c r="B802" t="inlineStr">
        <is>
          <t>Delia Bio Strengthening Nail And Cuticle Oil 10ml</t>
        </is>
      </c>
      <c r="C802" t="inlineStr">
        <is>
          <t>Nail Oil</t>
        </is>
      </c>
      <c r="D802" t="inlineStr">
        <is>
          <t>Delia</t>
        </is>
      </c>
      <c r="E802" t="n">
        <v>2.19</v>
      </c>
      <c r="F802" t="n">
        <v>1</v>
      </c>
      <c r="G802" t="n">
        <v>67</v>
      </c>
      <c r="H802" t="inlineStr">
        <is>
          <t>No</t>
        </is>
      </c>
      <c r="I802" t="inlineStr"/>
      <c r="J802" t="n">
        <v>1</v>
      </c>
      <c r="K802" t="n">
        <v>67</v>
      </c>
      <c r="L802" s="5">
        <f>HYPERLINK("https://api.qogita.com/variants/link/5901350487020/", "View Product")</f>
        <v/>
      </c>
    </row>
    <row r="803">
      <c r="A803" t="inlineStr">
        <is>
          <t>5901350487037</t>
        </is>
      </c>
      <c r="B803" t="inlineStr">
        <is>
          <t>Delia Cosmetics Bio Nail and Cuticle Oil Moisturizing 10ml</t>
        </is>
      </c>
      <c r="C803" t="inlineStr">
        <is>
          <t>Nail Oil</t>
        </is>
      </c>
      <c r="D803" t="inlineStr">
        <is>
          <t>Delia</t>
        </is>
      </c>
      <c r="E803" t="n">
        <v>2.19</v>
      </c>
      <c r="F803" t="n">
        <v>1</v>
      </c>
      <c r="G803" t="n">
        <v>28</v>
      </c>
      <c r="H803" t="inlineStr">
        <is>
          <t>No</t>
        </is>
      </c>
      <c r="I803" t="inlineStr"/>
      <c r="J803" t="n">
        <v>1</v>
      </c>
      <c r="K803" t="n">
        <v>28</v>
      </c>
      <c r="L803" s="5">
        <f>HYPERLINK("https://api.qogita.com/variants/link/5901350487037/", "View Product")</f>
        <v/>
      </c>
    </row>
    <row r="804">
      <c r="A804" t="inlineStr">
        <is>
          <t>5901738821552</t>
        </is>
      </c>
      <c r="B804" t="inlineStr">
        <is>
          <t>Chlapu Chlap Dermo Pharma Argan Serum For Body And Nails</t>
        </is>
      </c>
      <c r="C804" t="inlineStr">
        <is>
          <t>Nail Oil</t>
        </is>
      </c>
      <c r="D804" t="inlineStr">
        <is>
          <t>Chlapu Chlap</t>
        </is>
      </c>
      <c r="E804" t="n">
        <v>3.14</v>
      </c>
      <c r="F804" t="n">
        <v>1</v>
      </c>
      <c r="G804" t="n">
        <v>11</v>
      </c>
      <c r="H804" t="inlineStr">
        <is>
          <t>No</t>
        </is>
      </c>
      <c r="I804" t="inlineStr"/>
      <c r="J804" t="n">
        <v>1</v>
      </c>
      <c r="K804" t="n">
        <v>11</v>
      </c>
      <c r="L804" s="5">
        <f>HYPERLINK("https://api.qogita.com/variants/link/5901738821552/", "View Product")</f>
        <v/>
      </c>
    </row>
    <row r="805">
      <c r="A805" t="inlineStr">
        <is>
          <t>5901867979766</t>
        </is>
      </c>
      <c r="B805" t="inlineStr">
        <is>
          <t>Semilac Banana Nail Files with Curved Shape Double-Sided Files with Medium Grit 100/180 Nail Files for Natural Nails and Gel Nails Perfect for Manicure and Pedicure</t>
        </is>
      </c>
      <c r="C805" t="inlineStr">
        <is>
          <t>Nail Care</t>
        </is>
      </c>
      <c r="D805" t="inlineStr">
        <is>
          <t>Semilac</t>
        </is>
      </c>
      <c r="E805" t="n">
        <v>0.95</v>
      </c>
      <c r="F805" t="n">
        <v>1</v>
      </c>
      <c r="G805" t="n">
        <v>81</v>
      </c>
      <c r="H805" t="inlineStr">
        <is>
          <t>No</t>
        </is>
      </c>
      <c r="I805" t="inlineStr"/>
      <c r="J805" t="n">
        <v>1</v>
      </c>
      <c r="K805" t="n">
        <v>81</v>
      </c>
      <c r="L805" s="5">
        <f>HYPERLINK("https://api.qogita.com/variants/link/5901867979766/", "View Product")</f>
        <v/>
      </c>
    </row>
    <row r="806">
      <c r="A806" t="inlineStr">
        <is>
          <t>5901867979773</t>
        </is>
      </c>
      <c r="B806" t="inlineStr">
        <is>
          <t>Semilac Half Moon Nail File 100/180 for Manicure and Pedicure - Smooths Natural and Acrylic Nails</t>
        </is>
      </c>
      <c r="C806" t="inlineStr">
        <is>
          <t>Nail Care</t>
        </is>
      </c>
      <c r="D806" t="inlineStr">
        <is>
          <t>Semilac</t>
        </is>
      </c>
      <c r="E806" t="n">
        <v>1.08</v>
      </c>
      <c r="F806" t="n">
        <v>1</v>
      </c>
      <c r="G806" t="n">
        <v>65</v>
      </c>
      <c r="H806" t="inlineStr">
        <is>
          <t>No</t>
        </is>
      </c>
      <c r="I806" t="inlineStr"/>
      <c r="J806" t="n">
        <v>1</v>
      </c>
      <c r="K806" t="n">
        <v>65</v>
      </c>
      <c r="L806" s="5">
        <f>HYPERLINK("https://api.qogita.com/variants/link/5901867979773/", "View Product")</f>
        <v/>
      </c>
    </row>
    <row r="807">
      <c r="A807" t="inlineStr">
        <is>
          <t>5902249465723</t>
        </is>
      </c>
      <c r="B807" t="inlineStr">
        <is>
          <t>Constance Carroll Kera-Bond After Hybrid Nail Care Keratin 10ml</t>
        </is>
      </c>
      <c r="C807" t="inlineStr">
        <is>
          <t>Nail Oil</t>
        </is>
      </c>
      <c r="D807" t="inlineStr">
        <is>
          <t>Constance Carroll</t>
        </is>
      </c>
      <c r="E807" t="n">
        <v>2.14</v>
      </c>
      <c r="F807" t="n">
        <v>1</v>
      </c>
      <c r="G807" t="n">
        <v>12</v>
      </c>
      <c r="H807" t="inlineStr">
        <is>
          <t>No</t>
        </is>
      </c>
      <c r="I807" t="inlineStr"/>
      <c r="J807" t="n">
        <v>1</v>
      </c>
      <c r="K807" t="n">
        <v>12</v>
      </c>
      <c r="L807" s="5">
        <f>HYPERLINK("https://api.qogita.com/variants/link/5902249465723/", "View Product")</f>
        <v/>
      </c>
    </row>
    <row r="808">
      <c r="A808" t="inlineStr">
        <is>
          <t>5902560523652</t>
        </is>
      </c>
      <c r="B808" t="inlineStr">
        <is>
          <t>Silcare The Garden Of Colour Regenerating Cuticle And Nail Oil Flower Power 75ml</t>
        </is>
      </c>
      <c r="C808" t="inlineStr">
        <is>
          <t>Nail Oil</t>
        </is>
      </c>
      <c r="D808" t="inlineStr">
        <is>
          <t>Silcare</t>
        </is>
      </c>
      <c r="E808" t="n">
        <v>2.86</v>
      </c>
      <c r="F808" t="n">
        <v>1</v>
      </c>
      <c r="G808" t="n">
        <v>3</v>
      </c>
      <c r="H808" t="inlineStr">
        <is>
          <t>No</t>
        </is>
      </c>
      <c r="I808" t="inlineStr"/>
      <c r="J808" t="n">
        <v>1</v>
      </c>
      <c r="K808" t="n">
        <v>3</v>
      </c>
      <c r="L808" s="5">
        <f>HYPERLINK("https://api.qogita.com/variants/link/5902560523652/", "View Product")</f>
        <v/>
      </c>
    </row>
    <row r="809">
      <c r="A809" t="inlineStr">
        <is>
          <t>5902560523669</t>
        </is>
      </c>
      <c r="B809" t="inlineStr">
        <is>
          <t>Silcare The Garden Of Colour Nail And Cuticle Oil With Flowers Flower Power 75 Ml</t>
        </is>
      </c>
      <c r="C809" t="inlineStr">
        <is>
          <t>Nail Oil</t>
        </is>
      </c>
      <c r="D809" t="inlineStr">
        <is>
          <t>Silcare</t>
        </is>
      </c>
      <c r="E809" t="n">
        <v>2.86</v>
      </c>
      <c r="F809" t="n">
        <v>1</v>
      </c>
      <c r="G809" t="n">
        <v>9</v>
      </c>
      <c r="H809" t="inlineStr">
        <is>
          <t>No</t>
        </is>
      </c>
      <c r="I809" t="inlineStr"/>
      <c r="J809" t="n">
        <v>1</v>
      </c>
      <c r="K809" t="n">
        <v>9</v>
      </c>
      <c r="L809" s="5">
        <f>HYPERLINK("https://api.qogita.com/variants/link/5902560523669/", "View Product")</f>
        <v/>
      </c>
    </row>
    <row r="810">
      <c r="A810" t="inlineStr">
        <is>
          <t>5902560534054</t>
        </is>
      </c>
      <c r="B810" t="inlineStr">
        <is>
          <t>Silcare The Garden Of Colour Regenerating Cuticle And Nail Oil Mango Orange 75ml</t>
        </is>
      </c>
      <c r="C810" t="inlineStr">
        <is>
          <t>Nail Oil</t>
        </is>
      </c>
      <c r="D810" t="inlineStr">
        <is>
          <t>Silcare</t>
        </is>
      </c>
      <c r="E810" t="n">
        <v>2.86</v>
      </c>
      <c r="F810" t="n">
        <v>1</v>
      </c>
      <c r="G810" t="n">
        <v>3</v>
      </c>
      <c r="H810" t="inlineStr">
        <is>
          <t>No</t>
        </is>
      </c>
      <c r="I810" t="inlineStr"/>
      <c r="J810" t="n">
        <v>1</v>
      </c>
      <c r="K810" t="n">
        <v>3</v>
      </c>
      <c r="L810" s="5">
        <f>HYPERLINK("https://api.qogita.com/variants/link/5902560534054/", "View Product")</f>
        <v/>
      </c>
    </row>
    <row r="811">
      <c r="A811" t="inlineStr">
        <is>
          <t>5902719414404</t>
        </is>
      </c>
      <c r="B811" t="inlineStr">
        <is>
          <t>Urban Garden Protective Hydro Serum For Hands And Nails 100 Ml</t>
        </is>
      </c>
      <c r="C811" t="inlineStr">
        <is>
          <t>Nail Oil</t>
        </is>
      </c>
      <c r="D811" t="inlineStr">
        <is>
          <t>Urban</t>
        </is>
      </c>
      <c r="E811" t="n">
        <v>1.5</v>
      </c>
      <c r="F811" t="n">
        <v>1</v>
      </c>
      <c r="G811" t="n">
        <v>16</v>
      </c>
      <c r="H811" t="inlineStr">
        <is>
          <t>No</t>
        </is>
      </c>
      <c r="I811" t="inlineStr"/>
      <c r="J811" t="n">
        <v>1</v>
      </c>
      <c r="K811" t="n">
        <v>16</v>
      </c>
      <c r="L811" s="5">
        <f>HYPERLINK("https://api.qogita.com/variants/link/5902719414404/", "View Product")</f>
        <v/>
      </c>
    </row>
    <row r="812">
      <c r="A812" t="inlineStr">
        <is>
          <t>5902751400915</t>
        </is>
      </c>
      <c r="B812" t="inlineStr">
        <is>
          <t>Straight Nail File 100/100 HiHybrid</t>
        </is>
      </c>
      <c r="C812" t="inlineStr">
        <is>
          <t>Nail Clippers &amp; Tools</t>
        </is>
      </c>
      <c r="D812" t="inlineStr">
        <is>
          <t>Hihybrid</t>
        </is>
      </c>
      <c r="E812" t="n">
        <v>0.82</v>
      </c>
      <c r="F812" t="n">
        <v>1</v>
      </c>
      <c r="G812" t="n">
        <v>16</v>
      </c>
      <c r="H812" t="inlineStr">
        <is>
          <t>No</t>
        </is>
      </c>
      <c r="I812" t="inlineStr"/>
      <c r="J812" t="n">
        <v>1</v>
      </c>
      <c r="K812" t="n">
        <v>16</v>
      </c>
      <c r="L812" s="5">
        <f>HYPERLINK("https://api.qogita.com/variants/link/5902751400915/", "View Product")</f>
        <v/>
      </c>
    </row>
    <row r="813">
      <c r="A813" t="inlineStr">
        <is>
          <t>5902751401240</t>
        </is>
      </c>
      <c r="B813" t="inlineStr">
        <is>
          <t>Semilac Black Nail Manicure Armrest - 29.5 x 15 x 8 cm</t>
        </is>
      </c>
      <c r="C813" t="inlineStr">
        <is>
          <t>Nail Care</t>
        </is>
      </c>
      <c r="D813" t="inlineStr">
        <is>
          <t>Semilac</t>
        </is>
      </c>
      <c r="E813" t="n">
        <v>4.03</v>
      </c>
      <c r="F813" t="n">
        <v>1</v>
      </c>
      <c r="G813" t="n">
        <v>5</v>
      </c>
      <c r="H813" t="inlineStr">
        <is>
          <t>No</t>
        </is>
      </c>
      <c r="I813" t="inlineStr"/>
      <c r="J813" t="n">
        <v>1</v>
      </c>
      <c r="K813" t="n">
        <v>5</v>
      </c>
      <c r="L813" s="5">
        <f>HYPERLINK("https://api.qogita.com/variants/link/5902751401240/", "View Product")</f>
        <v/>
      </c>
    </row>
    <row r="814">
      <c r="A814" t="inlineStr">
        <is>
          <t>5902751405682</t>
        </is>
      </c>
      <c r="B814" t="inlineStr">
        <is>
          <t>Semilac Nail Drill Bit 002 - Carbide Cone</t>
        </is>
      </c>
      <c r="C814" t="inlineStr">
        <is>
          <t>Nail Care</t>
        </is>
      </c>
      <c r="D814" t="inlineStr">
        <is>
          <t>Semilac</t>
        </is>
      </c>
      <c r="E814" t="n">
        <v>12.74</v>
      </c>
      <c r="F814" t="n">
        <v>1</v>
      </c>
      <c r="G814" t="n">
        <v>5</v>
      </c>
      <c r="H814" t="inlineStr">
        <is>
          <t>No</t>
        </is>
      </c>
      <c r="I814" t="inlineStr"/>
      <c r="J814" t="n">
        <v>1</v>
      </c>
      <c r="K814" t="n">
        <v>5</v>
      </c>
      <c r="L814" s="5">
        <f>HYPERLINK("https://api.qogita.com/variants/link/5902751405682/", "View Product")</f>
        <v/>
      </c>
    </row>
    <row r="815">
      <c r="A815" t="inlineStr">
        <is>
          <t>5902751413892</t>
        </is>
      </c>
      <c r="B815" t="inlineStr">
        <is>
          <t>Semilac Manicure Oil Coconut Nail Cuticle Care Oil 7ml</t>
        </is>
      </c>
      <c r="C815" t="inlineStr">
        <is>
          <t>Nail Oil</t>
        </is>
      </c>
      <c r="D815" t="inlineStr">
        <is>
          <t>Semilac</t>
        </is>
      </c>
      <c r="E815" t="n">
        <v>1.87</v>
      </c>
      <c r="F815" t="n">
        <v>1</v>
      </c>
      <c r="G815" t="n">
        <v>9</v>
      </c>
      <c r="H815" t="inlineStr">
        <is>
          <t>No</t>
        </is>
      </c>
      <c r="I815" t="inlineStr"/>
      <c r="J815" t="n">
        <v>1</v>
      </c>
      <c r="K815" t="n">
        <v>9</v>
      </c>
      <c r="L815" s="5">
        <f>HYPERLINK("https://api.qogita.com/variants/link/5902751413892/", "View Product")</f>
        <v/>
      </c>
    </row>
    <row r="816">
      <c r="A816" t="inlineStr">
        <is>
          <t>5902751413939</t>
        </is>
      </c>
      <c r="B816" t="inlineStr">
        <is>
          <t>Semilac Cuticle Remover Nail Care Polish 7ml</t>
        </is>
      </c>
      <c r="C816" t="inlineStr">
        <is>
          <t>Cuticle Removers</t>
        </is>
      </c>
      <c r="D816" t="inlineStr">
        <is>
          <t>Semilac</t>
        </is>
      </c>
      <c r="E816" t="n">
        <v>2.18</v>
      </c>
      <c r="F816" t="n">
        <v>1</v>
      </c>
      <c r="G816" t="n">
        <v>13</v>
      </c>
      <c r="H816" t="inlineStr">
        <is>
          <t>No</t>
        </is>
      </c>
      <c r="I816" t="inlineStr"/>
      <c r="J816" t="n">
        <v>1</v>
      </c>
      <c r="K816" t="n">
        <v>13</v>
      </c>
      <c r="L816" s="5">
        <f>HYPERLINK("https://api.qogita.com/variants/link/5902751413939/", "View Product")</f>
        <v/>
      </c>
    </row>
    <row r="817">
      <c r="A817" t="inlineStr">
        <is>
          <t>5902751421705</t>
        </is>
      </c>
      <c r="B817" t="inlineStr">
        <is>
          <t>Hi Hybrid Hydrating Gel Olive for Nail and Cuticle 5ml</t>
        </is>
      </c>
      <c r="C817" t="inlineStr">
        <is>
          <t>Nail Oil</t>
        </is>
      </c>
      <c r="D817" t="inlineStr">
        <is>
          <t>Hi Hybrid</t>
        </is>
      </c>
      <c r="E817" t="n">
        <v>2.02</v>
      </c>
      <c r="F817" t="n">
        <v>1</v>
      </c>
      <c r="G817" t="n">
        <v>7</v>
      </c>
      <c r="H817" t="inlineStr">
        <is>
          <t>No</t>
        </is>
      </c>
      <c r="I817" t="inlineStr"/>
      <c r="J817" t="n">
        <v>1</v>
      </c>
      <c r="K817" t="n">
        <v>7</v>
      </c>
      <c r="L817" s="5">
        <f>HYPERLINK("https://api.qogita.com/variants/link/5902751421705/", "View Product")</f>
        <v/>
      </c>
    </row>
    <row r="818">
      <c r="A818" t="inlineStr">
        <is>
          <t>5902751438628</t>
        </is>
      </c>
      <c r="B818" t="inlineStr">
        <is>
          <t>Semilac Electric Nail File 65W</t>
        </is>
      </c>
      <c r="C818" t="inlineStr">
        <is>
          <t>Nail Clippers &amp; Tools</t>
        </is>
      </c>
      <c r="D818" t="inlineStr">
        <is>
          <t>Semilac</t>
        </is>
      </c>
      <c r="E818" t="n">
        <v>123.33</v>
      </c>
      <c r="F818" t="n">
        <v>1</v>
      </c>
      <c r="G818" t="n">
        <v>2</v>
      </c>
      <c r="H818" t="inlineStr">
        <is>
          <t>No</t>
        </is>
      </c>
      <c r="I818" t="inlineStr"/>
      <c r="J818" t="n">
        <v>1</v>
      </c>
      <c r="K818" t="n">
        <v>2</v>
      </c>
      <c r="L818" s="5">
        <f>HYPERLINK("https://api.qogita.com/variants/link/5902751438628/", "View Product")</f>
        <v/>
      </c>
    </row>
    <row r="819">
      <c r="A819" t="inlineStr">
        <is>
          <t>5902751438673</t>
        </is>
      </c>
      <c r="B819" t="inlineStr">
        <is>
          <t>Semilac Electric Nail File No Dust 2in1</t>
        </is>
      </c>
      <c r="C819" t="inlineStr">
        <is>
          <t>Nail Clippers &amp; Tools</t>
        </is>
      </c>
      <c r="D819" t="inlineStr">
        <is>
          <t>Semilac</t>
        </is>
      </c>
      <c r="E819" t="n">
        <v>101.56</v>
      </c>
      <c r="F819" t="n">
        <v>1</v>
      </c>
      <c r="G819" t="n">
        <v>6</v>
      </c>
      <c r="H819" t="inlineStr">
        <is>
          <t>No</t>
        </is>
      </c>
      <c r="I819" t="inlineStr"/>
      <c r="J819" t="n">
        <v>1</v>
      </c>
      <c r="K819" t="n">
        <v>6</v>
      </c>
      <c r="L819" s="5">
        <f>HYPERLINK("https://api.qogita.com/variants/link/5902751438673/", "View Product")</f>
        <v/>
      </c>
    </row>
    <row r="820">
      <c r="A820" t="inlineStr">
        <is>
          <t>5902751438918</t>
        </is>
      </c>
      <c r="B820" t="inlineStr">
        <is>
          <t>Semilac Electric Nail File Mini Pen</t>
        </is>
      </c>
      <c r="C820" t="inlineStr">
        <is>
          <t>Nail Clippers &amp; Tools</t>
        </is>
      </c>
      <c r="D820" t="inlineStr">
        <is>
          <t>Semilac</t>
        </is>
      </c>
      <c r="E820" t="n">
        <v>40.3</v>
      </c>
      <c r="F820" t="n">
        <v>1</v>
      </c>
      <c r="G820" t="n">
        <v>2</v>
      </c>
      <c r="H820" t="inlineStr">
        <is>
          <t>No</t>
        </is>
      </c>
      <c r="I820" t="inlineStr"/>
      <c r="J820" t="n">
        <v>1</v>
      </c>
      <c r="K820" t="n">
        <v>2</v>
      </c>
      <c r="L820" s="5">
        <f>HYPERLINK("https://api.qogita.com/variants/link/5902751438918/", "View Product")</f>
        <v/>
      </c>
    </row>
    <row r="821">
      <c r="A821" t="inlineStr">
        <is>
          <t>5902751438925</t>
        </is>
      </c>
      <c r="B821" t="inlineStr">
        <is>
          <t>SEMILAC Compact Lite Nail Drill 1 Unit</t>
        </is>
      </c>
      <c r="C821" t="inlineStr">
        <is>
          <t>Nail Clippers &amp; Tools</t>
        </is>
      </c>
      <c r="D821" t="inlineStr">
        <is>
          <t>Semilac</t>
        </is>
      </c>
      <c r="E821" t="n">
        <v>50.8</v>
      </c>
      <c r="F821" t="n">
        <v>1</v>
      </c>
      <c r="G821" t="n">
        <v>5</v>
      </c>
      <c r="H821" t="inlineStr">
        <is>
          <t>No</t>
        </is>
      </c>
      <c r="I821" t="inlineStr"/>
      <c r="J821" t="n">
        <v>1</v>
      </c>
      <c r="K821" t="n">
        <v>5</v>
      </c>
      <c r="L821" s="5">
        <f>HYPERLINK("https://api.qogita.com/variants/link/5902751438925/", "View Product")</f>
        <v/>
      </c>
    </row>
    <row r="822">
      <c r="A822" t="inlineStr">
        <is>
          <t>5902751438956</t>
        </is>
      </c>
      <c r="B822" t="inlineStr">
        <is>
          <t>Semilac Bits For Nail Cutter Flame</t>
        </is>
      </c>
      <c r="C822" t="inlineStr">
        <is>
          <t>Nail Clippers &amp; Tools</t>
        </is>
      </c>
      <c r="D822" t="inlineStr">
        <is>
          <t>Semilac</t>
        </is>
      </c>
      <c r="E822" t="n">
        <v>3.83</v>
      </c>
      <c r="F822" t="n">
        <v>1</v>
      </c>
      <c r="G822" t="n">
        <v>7</v>
      </c>
      <c r="H822" t="inlineStr">
        <is>
          <t>No</t>
        </is>
      </c>
      <c r="I822" t="inlineStr"/>
      <c r="J822" t="n">
        <v>1</v>
      </c>
      <c r="K822" t="n">
        <v>7</v>
      </c>
      <c r="L822" s="5">
        <f>HYPERLINK("https://api.qogita.com/variants/link/5902751438956/", "View Product")</f>
        <v/>
      </c>
    </row>
    <row r="823">
      <c r="A823" t="inlineStr">
        <is>
          <t>5902751438963</t>
        </is>
      </c>
      <c r="B823" t="inlineStr">
        <is>
          <t>Semilac Tungsten Carbide and Diamond Nail Drill Bit Set 001-013</t>
        </is>
      </c>
      <c r="C823" t="inlineStr">
        <is>
          <t>Nail Care Sets</t>
        </is>
      </c>
      <c r="D823" t="inlineStr">
        <is>
          <t>Semilac</t>
        </is>
      </c>
      <c r="E823" t="n">
        <v>4.07</v>
      </c>
      <c r="F823" t="n">
        <v>1</v>
      </c>
      <c r="G823" t="n">
        <v>3</v>
      </c>
      <c r="H823" t="inlineStr">
        <is>
          <t>No</t>
        </is>
      </c>
      <c r="I823" t="inlineStr"/>
      <c r="J823" t="n">
        <v>1</v>
      </c>
      <c r="K823" t="n">
        <v>3</v>
      </c>
      <c r="L823" s="5">
        <f>HYPERLINK("https://api.qogita.com/variants/link/5902751438963/", "View Product")</f>
        <v/>
      </c>
    </row>
    <row r="824">
      <c r="A824" t="inlineStr">
        <is>
          <t>5902751447590</t>
        </is>
      </c>
      <c r="B824" t="inlineStr">
        <is>
          <t>Semilac Moisturizing Nail and Cuticle Oil 11ml</t>
        </is>
      </c>
      <c r="C824" t="inlineStr">
        <is>
          <t>Nail Oil</t>
        </is>
      </c>
      <c r="D824" t="inlineStr">
        <is>
          <t>Semilac</t>
        </is>
      </c>
      <c r="E824" t="n">
        <v>3.39</v>
      </c>
      <c r="F824" t="n">
        <v>1</v>
      </c>
      <c r="G824" t="n">
        <v>2</v>
      </c>
      <c r="H824" t="inlineStr">
        <is>
          <t>No</t>
        </is>
      </c>
      <c r="I824" t="inlineStr"/>
      <c r="J824" t="n">
        <v>1</v>
      </c>
      <c r="K824" t="n">
        <v>2</v>
      </c>
      <c r="L824" s="5">
        <f>HYPERLINK("https://api.qogita.com/variants/link/5902751447590/", "View Product")</f>
        <v/>
      </c>
    </row>
    <row r="825">
      <c r="A825" t="inlineStr">
        <is>
          <t>5902751447613</t>
        </is>
      </c>
      <c r="B825" t="inlineStr">
        <is>
          <t>Hi Hybrid Hi Hybrid Nail &amp; Cuticle Scrub Smoothening For Cuticles And Nails 12 Ml</t>
        </is>
      </c>
      <c r="C825" t="inlineStr">
        <is>
          <t>Cuticle Removers</t>
        </is>
      </c>
      <c r="D825" t="inlineStr">
        <is>
          <t>Hi Hybrid</t>
        </is>
      </c>
      <c r="E825" t="n">
        <v>1.46</v>
      </c>
      <c r="F825" t="n">
        <v>1</v>
      </c>
      <c r="G825" t="n">
        <v>24</v>
      </c>
      <c r="H825" t="inlineStr">
        <is>
          <t>No</t>
        </is>
      </c>
      <c r="I825" t="inlineStr"/>
      <c r="J825" t="n">
        <v>1</v>
      </c>
      <c r="K825" t="n">
        <v>24</v>
      </c>
      <c r="L825" s="5">
        <f>HYPERLINK("https://api.qogita.com/variants/link/5902751447613/", "View Product")</f>
        <v/>
      </c>
    </row>
    <row r="826">
      <c r="A826" t="inlineStr">
        <is>
          <t>5902751447620</t>
        </is>
      </c>
      <c r="B826" t="inlineStr">
        <is>
          <t>Hi Hybrid Care Nail &amp; Cuticle Nourishing Serum 12ml</t>
        </is>
      </c>
      <c r="C826" t="inlineStr">
        <is>
          <t>Nail Oil</t>
        </is>
      </c>
      <c r="D826" t="inlineStr">
        <is>
          <t>Hi Hybrid</t>
        </is>
      </c>
      <c r="E826" t="n">
        <v>1.75</v>
      </c>
      <c r="F826" t="n">
        <v>1</v>
      </c>
      <c r="G826" t="n">
        <v>20</v>
      </c>
      <c r="H826" t="inlineStr">
        <is>
          <t>No</t>
        </is>
      </c>
      <c r="I826" t="inlineStr"/>
      <c r="J826" t="n">
        <v>1</v>
      </c>
      <c r="K826" t="n">
        <v>20</v>
      </c>
      <c r="L826" s="5">
        <f>HYPERLINK("https://api.qogita.com/variants/link/5902751447620/", "View Product")</f>
        <v/>
      </c>
    </row>
    <row r="827">
      <c r="A827" t="inlineStr">
        <is>
          <t>5902751448306</t>
        </is>
      </c>
      <c r="B827" t="inlineStr">
        <is>
          <t>Semilac 5in1 Rose Care Nail Conditioner 7ml</t>
        </is>
      </c>
      <c r="C827" t="inlineStr">
        <is>
          <t>Nail Oil</t>
        </is>
      </c>
      <c r="D827" t="inlineStr">
        <is>
          <t>Semilac</t>
        </is>
      </c>
      <c r="E827" t="n">
        <v>2.85</v>
      </c>
      <c r="F827" t="n">
        <v>1</v>
      </c>
      <c r="G827" t="n">
        <v>105</v>
      </c>
      <c r="H827" t="inlineStr">
        <is>
          <t>No</t>
        </is>
      </c>
      <c r="I827" t="inlineStr"/>
      <c r="J827" t="n">
        <v>1</v>
      </c>
      <c r="K827" t="n">
        <v>105</v>
      </c>
      <c r="L827" s="5">
        <f>HYPERLINK("https://api.qogita.com/variants/link/5902751448306/", "View Product")</f>
        <v/>
      </c>
    </row>
    <row r="828">
      <c r="A828" t="inlineStr">
        <is>
          <t>5902751453843</t>
        </is>
      </c>
      <c r="B828" t="inlineStr">
        <is>
          <t>Hi Hybrid Cuticle Pusher</t>
        </is>
      </c>
      <c r="C828" t="inlineStr">
        <is>
          <t>Cuticle Removers</t>
        </is>
      </c>
      <c r="D828" t="inlineStr">
        <is>
          <t>Hi Hybrid</t>
        </is>
      </c>
      <c r="E828" t="n">
        <v>3.36</v>
      </c>
      <c r="F828" t="n">
        <v>1</v>
      </c>
      <c r="G828" t="n">
        <v>21</v>
      </c>
      <c r="H828" t="inlineStr">
        <is>
          <t>No</t>
        </is>
      </c>
      <c r="I828" t="inlineStr"/>
      <c r="J828" t="n">
        <v>1</v>
      </c>
      <c r="K828" t="n">
        <v>21</v>
      </c>
      <c r="L828" s="5">
        <f>HYPERLINK("https://api.qogita.com/variants/link/5902751453843/", "View Product")</f>
        <v/>
      </c>
    </row>
    <row r="829">
      <c r="A829" t="inlineStr">
        <is>
          <t>5902751459234</t>
        </is>
      </c>
      <c r="B829" t="inlineStr">
        <is>
          <t>Semilac Fruity Cuticle Oil Kiwi &amp; Mango - Nail Treatment</t>
        </is>
      </c>
      <c r="C829" t="inlineStr">
        <is>
          <t>Nail Oil</t>
        </is>
      </c>
      <c r="D829" t="inlineStr">
        <is>
          <t>Semilac</t>
        </is>
      </c>
      <c r="E829" t="n">
        <v>2.45</v>
      </c>
      <c r="F829" t="n">
        <v>1</v>
      </c>
      <c r="G829" t="n">
        <v>12</v>
      </c>
      <c r="H829" t="inlineStr">
        <is>
          <t>No</t>
        </is>
      </c>
      <c r="I829" t="inlineStr"/>
      <c r="J829" t="n">
        <v>1</v>
      </c>
      <c r="K829" t="n">
        <v>12</v>
      </c>
      <c r="L829" s="5">
        <f>HYPERLINK("https://api.qogita.com/variants/link/5902751459234/", "View Product")</f>
        <v/>
      </c>
    </row>
    <row r="830">
      <c r="A830" t="inlineStr">
        <is>
          <t>5902751459241</t>
        </is>
      </c>
      <c r="B830" t="inlineStr">
        <is>
          <t>Semilac Fruity Cuticle Oil Strawberry &amp; Vanilla</t>
        </is>
      </c>
      <c r="C830" t="inlineStr">
        <is>
          <t>Nail Oil</t>
        </is>
      </c>
      <c r="D830" t="inlineStr">
        <is>
          <t>Semilac</t>
        </is>
      </c>
      <c r="E830" t="n">
        <v>2.45</v>
      </c>
      <c r="F830" t="n">
        <v>1</v>
      </c>
      <c r="G830" t="n">
        <v>11</v>
      </c>
      <c r="H830" t="inlineStr">
        <is>
          <t>No</t>
        </is>
      </c>
      <c r="I830" t="inlineStr"/>
      <c r="J830" t="n">
        <v>1</v>
      </c>
      <c r="K830" t="n">
        <v>11</v>
      </c>
      <c r="L830" s="5">
        <f>HYPERLINK("https://api.qogita.com/variants/link/5902751459241/", "View Product")</f>
        <v/>
      </c>
    </row>
    <row r="831">
      <c r="A831" t="inlineStr">
        <is>
          <t>5902751469660</t>
        </is>
      </c>
      <c r="B831" t="inlineStr">
        <is>
          <t>Semilac Nail Care Dry Oil For Nails And Cuticles Velvet 7 Ml</t>
        </is>
      </c>
      <c r="C831" t="inlineStr">
        <is>
          <t>Nail Oil</t>
        </is>
      </c>
      <c r="D831" t="inlineStr">
        <is>
          <t>Semilac</t>
        </is>
      </c>
      <c r="E831" t="n">
        <v>2.49</v>
      </c>
      <c r="F831" t="n">
        <v>1</v>
      </c>
      <c r="G831" t="n">
        <v>28</v>
      </c>
      <c r="H831" t="inlineStr">
        <is>
          <t>No</t>
        </is>
      </c>
      <c r="I831" t="inlineStr"/>
      <c r="J831" t="n">
        <v>1</v>
      </c>
      <c r="K831" t="n">
        <v>28</v>
      </c>
      <c r="L831" s="5">
        <f>HYPERLINK("https://api.qogita.com/variants/link/5902751469660/", "View Product")</f>
        <v/>
      </c>
    </row>
    <row r="832">
      <c r="A832" t="inlineStr">
        <is>
          <t>5902751469677</t>
        </is>
      </c>
      <c r="B832" t="inlineStr">
        <is>
          <t>Semilac Nail Care Peeling For Cuticles And Nails Aloe &amp; Cherry Blossom 7 Ml</t>
        </is>
      </c>
      <c r="C832" t="inlineStr">
        <is>
          <t>Cuticle Removers</t>
        </is>
      </c>
      <c r="D832" t="inlineStr">
        <is>
          <t>Semilac</t>
        </is>
      </c>
      <c r="E832" t="n">
        <v>2.62</v>
      </c>
      <c r="F832" t="n">
        <v>1</v>
      </c>
      <c r="G832" t="n">
        <v>7</v>
      </c>
      <c r="H832" t="inlineStr">
        <is>
          <t>No</t>
        </is>
      </c>
      <c r="I832" t="inlineStr"/>
      <c r="J832" t="n">
        <v>1</v>
      </c>
      <c r="K832" t="n">
        <v>7</v>
      </c>
      <c r="L832" s="5">
        <f>HYPERLINK("https://api.qogita.com/variants/link/5902751469677/", "View Product")</f>
        <v/>
      </c>
    </row>
    <row r="833">
      <c r="A833" t="inlineStr">
        <is>
          <t>5902751469721</t>
        </is>
      </c>
      <c r="B833" t="inlineStr">
        <is>
          <t>Semilac Nail Care Gel Elixir For Cuticles And Nails Aloe 7 Ml</t>
        </is>
      </c>
      <c r="C833" t="inlineStr">
        <is>
          <t>Nail Oil</t>
        </is>
      </c>
      <c r="D833" t="inlineStr">
        <is>
          <t>Semilac</t>
        </is>
      </c>
      <c r="E833" t="n">
        <v>2.62</v>
      </c>
      <c r="F833" t="n">
        <v>1</v>
      </c>
      <c r="G833" t="n">
        <v>9</v>
      </c>
      <c r="H833" t="inlineStr">
        <is>
          <t>No</t>
        </is>
      </c>
      <c r="I833" t="inlineStr"/>
      <c r="J833" t="n">
        <v>1</v>
      </c>
      <c r="K833" t="n">
        <v>9</v>
      </c>
      <c r="L833" s="5">
        <f>HYPERLINK("https://api.qogita.com/variants/link/5902751469721/", "View Product")</f>
        <v/>
      </c>
    </row>
    <row r="834">
      <c r="A834" t="inlineStr">
        <is>
          <t>5902751474916</t>
        </is>
      </c>
      <c r="B834" t="inlineStr">
        <is>
          <t>Semilac Mini Pen Black Edition Nail Drill Compact Electric Nail File</t>
        </is>
      </c>
      <c r="C834" t="inlineStr">
        <is>
          <t>Manicure Sets</t>
        </is>
      </c>
      <c r="D834" t="inlineStr">
        <is>
          <t>Semilac</t>
        </is>
      </c>
      <c r="E834" t="n">
        <v>27.24</v>
      </c>
      <c r="F834" t="n">
        <v>1</v>
      </c>
      <c r="G834" t="n">
        <v>6</v>
      </c>
      <c r="H834" t="inlineStr">
        <is>
          <t>No</t>
        </is>
      </c>
      <c r="I834" t="inlineStr"/>
      <c r="J834" t="n">
        <v>1</v>
      </c>
      <c r="K834" t="n">
        <v>6</v>
      </c>
      <c r="L834" s="5">
        <f>HYPERLINK("https://api.qogita.com/variants/link/5902751474916/", "View Product")</f>
        <v/>
      </c>
    </row>
    <row r="835">
      <c r="A835" t="inlineStr">
        <is>
          <t>5902802700704</t>
        </is>
      </c>
      <c r="B835" t="inlineStr">
        <is>
          <t>Regenerum Regenerating Nail Serum In Nail Polish 8ml</t>
        </is>
      </c>
      <c r="C835" t="inlineStr">
        <is>
          <t>Nail Oil</t>
        </is>
      </c>
      <c r="D835" t="inlineStr">
        <is>
          <t>Regenerum</t>
        </is>
      </c>
      <c r="E835" t="n">
        <v>4.62</v>
      </c>
      <c r="F835" t="n">
        <v>1</v>
      </c>
      <c r="G835" t="n">
        <v>35</v>
      </c>
      <c r="H835" t="inlineStr">
        <is>
          <t>No</t>
        </is>
      </c>
      <c r="I835" t="inlineStr"/>
      <c r="J835" t="n">
        <v>1</v>
      </c>
      <c r="K835" t="n">
        <v>35</v>
      </c>
      <c r="L835" s="5">
        <f>HYPERLINK("https://api.qogita.com/variants/link/5902802700704/", "View Product")</f>
        <v/>
      </c>
    </row>
    <row r="836">
      <c r="A836" t="inlineStr">
        <is>
          <t>5903216404691</t>
        </is>
      </c>
      <c r="B836" t="inlineStr">
        <is>
          <t>Joko Nails Therapy Nail Conditioner Moisturizing Brightening 11ml</t>
        </is>
      </c>
      <c r="C836" t="inlineStr">
        <is>
          <t>Nail Oil</t>
        </is>
      </c>
      <c r="D836" t="inlineStr">
        <is>
          <t>Joko</t>
        </is>
      </c>
      <c r="E836" t="n">
        <v>2.03</v>
      </c>
      <c r="F836" t="n">
        <v>1</v>
      </c>
      <c r="G836" t="n">
        <v>32</v>
      </c>
      <c r="H836" t="inlineStr">
        <is>
          <t>No</t>
        </is>
      </c>
      <c r="I836" t="inlineStr"/>
      <c r="J836" t="n">
        <v>1</v>
      </c>
      <c r="K836" t="n">
        <v>32</v>
      </c>
      <c r="L836" s="5">
        <f>HYPERLINK("https://api.qogita.com/variants/link/5903216404691/", "View Product")</f>
        <v/>
      </c>
    </row>
    <row r="837">
      <c r="A837" t="inlineStr">
        <is>
          <t>5903216404738</t>
        </is>
      </c>
      <c r="B837" t="inlineStr">
        <is>
          <t>Joko Nails Therapy Multi-Nourishing Nail Oil Cocktail 11ml</t>
        </is>
      </c>
      <c r="C837" t="inlineStr">
        <is>
          <t>Nail Oil</t>
        </is>
      </c>
      <c r="D837" t="inlineStr">
        <is>
          <t>Joko</t>
        </is>
      </c>
      <c r="E837" t="n">
        <v>2.03</v>
      </c>
      <c r="F837" t="n">
        <v>1</v>
      </c>
      <c r="G837" t="n">
        <v>4</v>
      </c>
      <c r="H837" t="inlineStr">
        <is>
          <t>No</t>
        </is>
      </c>
      <c r="I837" t="inlineStr"/>
      <c r="J837" t="n">
        <v>1</v>
      </c>
      <c r="K837" t="n">
        <v>4</v>
      </c>
      <c r="L837" s="5">
        <f>HYPERLINK("https://api.qogita.com/variants/link/5903216404738/", "View Product")</f>
        <v/>
      </c>
    </row>
    <row r="838">
      <c r="A838" t="inlineStr">
        <is>
          <t>5903216404998</t>
        </is>
      </c>
      <c r="B838" t="inlineStr">
        <is>
          <t>Joko Nails Therapy Intensive Regeneration 11ml</t>
        </is>
      </c>
      <c r="C838" t="inlineStr">
        <is>
          <t>Nail Oil</t>
        </is>
      </c>
      <c r="D838" t="inlineStr">
        <is>
          <t>Joko</t>
        </is>
      </c>
      <c r="E838" t="n">
        <v>2.03</v>
      </c>
      <c r="F838" t="n">
        <v>1</v>
      </c>
      <c r="G838" t="n">
        <v>45</v>
      </c>
      <c r="H838" t="inlineStr">
        <is>
          <t>No</t>
        </is>
      </c>
      <c r="I838" t="inlineStr"/>
      <c r="J838" t="n">
        <v>1</v>
      </c>
      <c r="K838" t="n">
        <v>45</v>
      </c>
      <c r="L838" s="5">
        <f>HYPERLINK("https://api.qogita.com/variants/link/5903216404998/", "View Product")</f>
        <v/>
      </c>
    </row>
    <row r="839">
      <c r="A839" t="inlineStr">
        <is>
          <t>5903216405032</t>
        </is>
      </c>
      <c r="B839" t="inlineStr">
        <is>
          <t>Joko Nails Therapy Nail Treatment Vitamin Bomb 11ml</t>
        </is>
      </c>
      <c r="C839" t="inlineStr">
        <is>
          <t>Nail Oil</t>
        </is>
      </c>
      <c r="D839" t="inlineStr">
        <is>
          <t>Joko</t>
        </is>
      </c>
      <c r="E839" t="n">
        <v>2.14</v>
      </c>
      <c r="F839" t="n">
        <v>1</v>
      </c>
      <c r="G839" t="n">
        <v>27</v>
      </c>
      <c r="H839" t="inlineStr">
        <is>
          <t>No</t>
        </is>
      </c>
      <c r="I839" t="inlineStr"/>
      <c r="J839" t="n">
        <v>1</v>
      </c>
      <c r="K839" t="n">
        <v>27</v>
      </c>
      <c r="L839" s="5">
        <f>HYPERLINK("https://api.qogita.com/variants/link/5903216405032/", "View Product")</f>
        <v/>
      </c>
    </row>
    <row r="840">
      <c r="A840" t="inlineStr">
        <is>
          <t>5903216405056</t>
        </is>
      </c>
      <c r="B840" t="inlineStr">
        <is>
          <t>Eixir Nails Therapy Nail Polish 7 In 1 Nourished Nails 11ml</t>
        </is>
      </c>
      <c r="C840" t="inlineStr">
        <is>
          <t>Nail Oil</t>
        </is>
      </c>
      <c r="D840" t="inlineStr">
        <is>
          <t>Elixir</t>
        </is>
      </c>
      <c r="E840" t="n">
        <v>2.14</v>
      </c>
      <c r="F840" t="n">
        <v>1</v>
      </c>
      <c r="G840" t="n">
        <v>21</v>
      </c>
      <c r="H840" t="inlineStr">
        <is>
          <t>No</t>
        </is>
      </c>
      <c r="I840" t="inlineStr"/>
      <c r="J840" t="n">
        <v>1</v>
      </c>
      <c r="K840" t="n">
        <v>21</v>
      </c>
      <c r="L840" s="5">
        <f>HYPERLINK("https://api.qogita.com/variants/link/5903216405056/", "View Product")</f>
        <v/>
      </c>
    </row>
    <row r="841">
      <c r="A841" t="inlineStr">
        <is>
          <t>5903216405094</t>
        </is>
      </c>
      <c r="B841" t="inlineStr">
        <is>
          <t>Joko Nails Therapy Cuticle Remover Gel 11ml</t>
        </is>
      </c>
      <c r="C841" t="inlineStr">
        <is>
          <t>Cuticle Removers</t>
        </is>
      </c>
      <c r="D841" t="inlineStr">
        <is>
          <t>Joko</t>
        </is>
      </c>
      <c r="E841" t="n">
        <v>2.14</v>
      </c>
      <c r="F841" t="n">
        <v>1</v>
      </c>
      <c r="G841" t="n">
        <v>27</v>
      </c>
      <c r="H841" t="inlineStr">
        <is>
          <t>No</t>
        </is>
      </c>
      <c r="I841" t="inlineStr"/>
      <c r="J841" t="n">
        <v>1</v>
      </c>
      <c r="K841" t="n">
        <v>27</v>
      </c>
      <c r="L841" s="5">
        <f>HYPERLINK("https://api.qogita.com/variants/link/5903216405094/", "View Product")</f>
        <v/>
      </c>
    </row>
    <row r="842">
      <c r="A842" t="inlineStr">
        <is>
          <t>5903216405117</t>
        </is>
      </c>
      <c r="B842" t="inlineStr">
        <is>
          <t>Nail Therapy Nourishing Nail Oil Shake 11ml Joko</t>
        </is>
      </c>
      <c r="C842" t="inlineStr">
        <is>
          <t>Nail Oil</t>
        </is>
      </c>
      <c r="D842" t="inlineStr">
        <is>
          <t>Sally Hansen</t>
        </is>
      </c>
      <c r="E842" t="n">
        <v>2.14</v>
      </c>
      <c r="F842" t="n">
        <v>1</v>
      </c>
      <c r="G842" t="n">
        <v>12</v>
      </c>
      <c r="H842" t="inlineStr">
        <is>
          <t>No</t>
        </is>
      </c>
      <c r="I842" t="inlineStr"/>
      <c r="J842" t="n">
        <v>1</v>
      </c>
      <c r="K842" t="n">
        <v>12</v>
      </c>
      <c r="L842" s="5">
        <f>HYPERLINK("https://api.qogita.com/variants/link/5903216405117/", "View Product")</f>
        <v/>
      </c>
    </row>
    <row r="843">
      <c r="A843" t="inlineStr">
        <is>
          <t>5903678593803</t>
        </is>
      </c>
      <c r="B843" t="inlineStr">
        <is>
          <t>Ecarla Manicure And Pedicure Accessories Set Pink 12 In 1 Ak20</t>
        </is>
      </c>
      <c r="C843" t="inlineStr">
        <is>
          <t>Manicure Sets</t>
        </is>
      </c>
      <c r="D843" t="inlineStr">
        <is>
          <t>Ecarla</t>
        </is>
      </c>
      <c r="E843" t="n">
        <v>5.64</v>
      </c>
      <c r="F843" t="n">
        <v>1</v>
      </c>
      <c r="G843" t="n">
        <v>9</v>
      </c>
      <c r="H843" t="inlineStr">
        <is>
          <t>No</t>
        </is>
      </c>
      <c r="I843" t="inlineStr"/>
      <c r="J843" t="n">
        <v>1</v>
      </c>
      <c r="K843" t="n">
        <v>9</v>
      </c>
      <c r="L843" s="5">
        <f>HYPERLINK("https://api.qogita.com/variants/link/5903678593803/", "View Product")</f>
        <v/>
      </c>
    </row>
    <row r="844">
      <c r="A844" t="inlineStr">
        <is>
          <t>5903678593810</t>
        </is>
      </c>
      <c r="B844" t="inlineStr">
        <is>
          <t>Ecarla Manicure And Pedicure Accessories Set In Case Black 12 In 1 Ak21</t>
        </is>
      </c>
      <c r="C844" t="inlineStr">
        <is>
          <t>Manicure Sets</t>
        </is>
      </c>
      <c r="D844" t="inlineStr">
        <is>
          <t>Ecarla</t>
        </is>
      </c>
      <c r="E844" t="n">
        <v>5.64</v>
      </c>
      <c r="F844" t="n">
        <v>1</v>
      </c>
      <c r="G844" t="n">
        <v>8</v>
      </c>
      <c r="H844" t="inlineStr">
        <is>
          <t>No</t>
        </is>
      </c>
      <c r="I844" t="inlineStr"/>
      <c r="J844" t="n">
        <v>1</v>
      </c>
      <c r="K844" t="n">
        <v>8</v>
      </c>
      <c r="L844" s="5">
        <f>HYPERLINK("https://api.qogita.com/variants/link/5903678593810/", "View Product")</f>
        <v/>
      </c>
    </row>
    <row r="845">
      <c r="A845" t="inlineStr">
        <is>
          <t>5903819808636</t>
        </is>
      </c>
      <c r="B845" t="inlineStr">
        <is>
          <t>Claresa Nails Stylistic Nail File Boat 100180 50 Pcs</t>
        </is>
      </c>
      <c r="C845" t="inlineStr">
        <is>
          <t>Nail Clippers &amp; Tools</t>
        </is>
      </c>
      <c r="D845" t="inlineStr">
        <is>
          <t>Claresa</t>
        </is>
      </c>
      <c r="E845" t="n">
        <v>6.59</v>
      </c>
      <c r="F845" t="n">
        <v>1</v>
      </c>
      <c r="G845" t="n">
        <v>8</v>
      </c>
      <c r="H845" t="inlineStr">
        <is>
          <t>No</t>
        </is>
      </c>
      <c r="I845" t="inlineStr"/>
      <c r="J845" t="n">
        <v>1</v>
      </c>
      <c r="K845" t="n">
        <v>8</v>
      </c>
      <c r="L845" s="5">
        <f>HYPERLINK("https://api.qogita.com/variants/link/5903819808636/", "View Product")</f>
        <v/>
      </c>
    </row>
    <row r="846">
      <c r="A846" t="inlineStr">
        <is>
          <t>5906720560242</t>
        </is>
      </c>
      <c r="B846" t="inlineStr">
        <is>
          <t>The Garden Of Colour Regenerating Cuticle And Nail Oil Yummy Gummy Pink 15ml</t>
        </is>
      </c>
      <c r="C846" t="inlineStr">
        <is>
          <t>Nail Oil</t>
        </is>
      </c>
      <c r="D846" t="inlineStr">
        <is>
          <t>The Garden Of Colour</t>
        </is>
      </c>
      <c r="E846" t="n">
        <v>1.39</v>
      </c>
      <c r="F846" t="n">
        <v>1</v>
      </c>
      <c r="G846" t="n">
        <v>15</v>
      </c>
      <c r="H846" t="inlineStr">
        <is>
          <t>No</t>
        </is>
      </c>
      <c r="I846" t="inlineStr"/>
      <c r="J846" t="n">
        <v>1</v>
      </c>
      <c r="K846" t="n">
        <v>15</v>
      </c>
      <c r="L846" s="5">
        <f>HYPERLINK("https://api.qogita.com/variants/link/5906720560242/", "View Product")</f>
        <v/>
      </c>
    </row>
    <row r="847">
      <c r="A847" t="inlineStr">
        <is>
          <t>5906720560259</t>
        </is>
      </c>
      <c r="B847" t="inlineStr">
        <is>
          <t>Silcare The Garden Of Colour Regenerating Cuticle And Nail Oil Coconut Sea Blue 15ml</t>
        </is>
      </c>
      <c r="C847" t="inlineStr">
        <is>
          <t>Nail Oil</t>
        </is>
      </c>
      <c r="D847" t="inlineStr">
        <is>
          <t>Silcare</t>
        </is>
      </c>
      <c r="E847" t="n">
        <v>1.39</v>
      </c>
      <c r="F847" t="n">
        <v>1</v>
      </c>
      <c r="G847" t="n">
        <v>7</v>
      </c>
      <c r="H847" t="inlineStr">
        <is>
          <t>No</t>
        </is>
      </c>
      <c r="I847" t="inlineStr"/>
      <c r="J847" t="n">
        <v>1</v>
      </c>
      <c r="K847" t="n">
        <v>7</v>
      </c>
      <c r="L847" s="5">
        <f>HYPERLINK("https://api.qogita.com/variants/link/5906720560259/", "View Product")</f>
        <v/>
      </c>
    </row>
    <row r="848">
      <c r="A848" t="inlineStr">
        <is>
          <t>5906720560501</t>
        </is>
      </c>
      <c r="B848" t="inlineStr">
        <is>
          <t>Silcare Raspberry Cuticle Oil Light Pink 15ml</t>
        </is>
      </c>
      <c r="C848" t="inlineStr">
        <is>
          <t>Nail Oil</t>
        </is>
      </c>
      <c r="D848" t="inlineStr">
        <is>
          <t>Silcare</t>
        </is>
      </c>
      <c r="E848" t="n">
        <v>1.32</v>
      </c>
      <c r="F848" t="n">
        <v>1</v>
      </c>
      <c r="G848" t="n">
        <v>13</v>
      </c>
      <c r="H848" t="inlineStr">
        <is>
          <t>No</t>
        </is>
      </c>
      <c r="I848" t="inlineStr"/>
      <c r="J848" t="n">
        <v>1</v>
      </c>
      <c r="K848" t="n">
        <v>13</v>
      </c>
      <c r="L848" s="5">
        <f>HYPERLINK("https://api.qogita.com/variants/link/5906720560501/", "View Product")</f>
        <v/>
      </c>
    </row>
    <row r="849">
      <c r="A849" t="inlineStr">
        <is>
          <t>5907549220645</t>
        </is>
      </c>
      <c r="B849" t="inlineStr">
        <is>
          <t>NEESS Nail File 180/240 Grit - Ideal for Manicure and Pedicure</t>
        </is>
      </c>
      <c r="C849" t="inlineStr">
        <is>
          <t>Nail Care</t>
        </is>
      </c>
      <c r="D849" t="inlineStr">
        <is>
          <t>Neess</t>
        </is>
      </c>
      <c r="E849" t="n">
        <v>0.75</v>
      </c>
      <c r="F849" t="n">
        <v>1</v>
      </c>
      <c r="G849" t="n">
        <v>14</v>
      </c>
      <c r="H849" t="inlineStr">
        <is>
          <t>No</t>
        </is>
      </c>
      <c r="I849" t="inlineStr"/>
      <c r="J849" t="n">
        <v>1</v>
      </c>
      <c r="K849" t="n">
        <v>14</v>
      </c>
      <c r="L849" s="5">
        <f>HYPERLINK("https://api.qogita.com/variants/link/5907549220645/", "View Product")</f>
        <v/>
      </c>
    </row>
    <row r="850">
      <c r="A850" t="inlineStr">
        <is>
          <t>5907549243132</t>
        </is>
      </c>
      <c r="B850" t="inlineStr">
        <is>
          <t>Neess Lintfree Roll Cotton Pads For Hybrid Manicure 250 Pieces</t>
        </is>
      </c>
      <c r="C850" t="inlineStr">
        <is>
          <t>Cuticle Removers</t>
        </is>
      </c>
      <c r="D850" t="inlineStr">
        <is>
          <t>Neess</t>
        </is>
      </c>
      <c r="E850" t="n">
        <v>1.28</v>
      </c>
      <c r="F850" t="n">
        <v>1</v>
      </c>
      <c r="G850" t="n">
        <v>31</v>
      </c>
      <c r="H850" t="inlineStr">
        <is>
          <t>No</t>
        </is>
      </c>
      <c r="I850" t="inlineStr"/>
      <c r="J850" t="n">
        <v>1</v>
      </c>
      <c r="K850" t="n">
        <v>31</v>
      </c>
      <c r="L850" s="5">
        <f>HYPERLINK("https://api.qogita.com/variants/link/5907549243132/", "View Product")</f>
        <v/>
      </c>
    </row>
    <row r="851">
      <c r="A851" t="inlineStr">
        <is>
          <t>5907549276031</t>
        </is>
      </c>
      <c r="B851" t="inlineStr">
        <is>
          <t>neess Nail Cleaner Cherry Aroma Liquid 500ml</t>
        </is>
      </c>
      <c r="C851" t="inlineStr">
        <is>
          <t>Cuticle Removers</t>
        </is>
      </c>
      <c r="D851" t="inlineStr">
        <is>
          <t>Neess</t>
        </is>
      </c>
      <c r="E851" t="n">
        <v>2.69</v>
      </c>
      <c r="F851" t="n">
        <v>1</v>
      </c>
      <c r="G851" t="n">
        <v>29</v>
      </c>
      <c r="H851" t="inlineStr">
        <is>
          <t>No</t>
        </is>
      </c>
      <c r="I851" t="inlineStr"/>
      <c r="J851" t="n">
        <v>1</v>
      </c>
      <c r="K851" t="n">
        <v>29</v>
      </c>
      <c r="L851" s="5">
        <f>HYPERLINK("https://api.qogita.com/variants/link/5907549276031/", "View Product")</f>
        <v/>
      </c>
    </row>
    <row r="852">
      <c r="A852" t="inlineStr">
        <is>
          <t>5907644000401</t>
        </is>
      </c>
      <c r="B852" t="inlineStr">
        <is>
          <t>Baby Manicure Set Nail Scissors Nail Clippers Nail File Assorted</t>
        </is>
      </c>
      <c r="C852" t="inlineStr">
        <is>
          <t>Manicure Sets</t>
        </is>
      </c>
      <c r="D852" t="inlineStr">
        <is>
          <t>Akuku</t>
        </is>
      </c>
      <c r="E852" t="n">
        <v>1.3</v>
      </c>
      <c r="F852" t="n">
        <v>1</v>
      </c>
      <c r="G852" t="n">
        <v>20</v>
      </c>
      <c r="H852" t="inlineStr">
        <is>
          <t>No</t>
        </is>
      </c>
      <c r="I852" t="inlineStr"/>
      <c r="J852" t="n">
        <v>1</v>
      </c>
      <c r="K852" t="n">
        <v>20</v>
      </c>
      <c r="L852" s="5">
        <f>HYPERLINK("https://api.qogita.com/variants/link/5907644000401/", "View Product")</f>
        <v/>
      </c>
    </row>
    <row r="853">
      <c r="A853" t="inlineStr">
        <is>
          <t>5907681800026</t>
        </is>
      </c>
      <c r="B853" t="inlineStr">
        <is>
          <t>Bittergel PAZUREK against Nail Biting for Children 10ml</t>
        </is>
      </c>
      <c r="C853" t="inlineStr">
        <is>
          <t>Nail Oil</t>
        </is>
      </c>
      <c r="D853" t="inlineStr">
        <is>
          <t>Kosmed</t>
        </is>
      </c>
      <c r="E853" t="n">
        <v>2.41</v>
      </c>
      <c r="F853" t="n">
        <v>1</v>
      </c>
      <c r="G853" t="n">
        <v>67</v>
      </c>
      <c r="H853" t="inlineStr">
        <is>
          <t>No</t>
        </is>
      </c>
      <c r="I853" t="inlineStr"/>
      <c r="J853" t="n">
        <v>1</v>
      </c>
      <c r="K853" t="n">
        <v>67</v>
      </c>
      <c r="L853" s="5">
        <f>HYPERLINK("https://api.qogita.com/variants/link/5907681800026/", "View Product")</f>
        <v/>
      </c>
    </row>
    <row r="854">
      <c r="A854" t="inlineStr">
        <is>
          <t>5907681800033</t>
        </is>
      </c>
      <c r="B854" t="inlineStr">
        <is>
          <t>Kosmed Nail Bitter Nail Biting Fluid 10ml</t>
        </is>
      </c>
      <c r="C854" t="inlineStr">
        <is>
          <t>Nail Oil</t>
        </is>
      </c>
      <c r="D854" t="inlineStr">
        <is>
          <t>Kosmed</t>
        </is>
      </c>
      <c r="E854" t="n">
        <v>2.54</v>
      </c>
      <c r="F854" t="n">
        <v>1</v>
      </c>
      <c r="G854" t="n">
        <v>71</v>
      </c>
      <c r="H854" t="inlineStr">
        <is>
          <t>No</t>
        </is>
      </c>
      <c r="I854" t="inlineStr"/>
      <c r="J854" t="n">
        <v>1</v>
      </c>
      <c r="K854" t="n">
        <v>71</v>
      </c>
      <c r="L854" s="5">
        <f>HYPERLINK("https://api.qogita.com/variants/link/5907681800033/", "View Product")</f>
        <v/>
      </c>
    </row>
    <row r="855">
      <c r="A855" t="inlineStr">
        <is>
          <t>5907681800569</t>
        </is>
      </c>
      <c r="B855" t="inlineStr">
        <is>
          <t>Kosmed Nail Conditioner With Silk And Vitamin E 10 In 1 9ml</t>
        </is>
      </c>
      <c r="C855" t="inlineStr">
        <is>
          <t>Nail Oil</t>
        </is>
      </c>
      <c r="D855" t="inlineStr">
        <is>
          <t>Kosmed</t>
        </is>
      </c>
      <c r="E855" t="n">
        <v>2.11</v>
      </c>
      <c r="F855" t="n">
        <v>1</v>
      </c>
      <c r="G855" t="n">
        <v>15</v>
      </c>
      <c r="H855" t="inlineStr">
        <is>
          <t>No</t>
        </is>
      </c>
      <c r="I855" t="inlineStr"/>
      <c r="J855" t="n">
        <v>1</v>
      </c>
      <c r="K855" t="n">
        <v>15</v>
      </c>
      <c r="L855" s="5">
        <f>HYPERLINK("https://api.qogita.com/variants/link/5907681800569/", "View Product")</f>
        <v/>
      </c>
    </row>
    <row r="856">
      <c r="A856" t="inlineStr">
        <is>
          <t>5907681802136</t>
        </is>
      </c>
      <c r="B856" t="inlineStr">
        <is>
          <t>Kosmed Pazurek Max Bitter Gel Against Nail Biting 10 Ml</t>
        </is>
      </c>
      <c r="C856" t="inlineStr">
        <is>
          <t>Nail Oil</t>
        </is>
      </c>
      <c r="D856" t="inlineStr">
        <is>
          <t>Kosmed</t>
        </is>
      </c>
      <c r="E856" t="n">
        <v>3.32</v>
      </c>
      <c r="F856" t="n">
        <v>1</v>
      </c>
      <c r="G856" t="n">
        <v>4</v>
      </c>
      <c r="H856" t="inlineStr">
        <is>
          <t>No</t>
        </is>
      </c>
      <c r="I856" t="inlineStr"/>
      <c r="J856" t="n">
        <v>1</v>
      </c>
      <c r="K856" t="n">
        <v>4</v>
      </c>
      <c r="L856" s="5">
        <f>HYPERLINK("https://api.qogita.com/variants/link/5907681802136/", "View Product")</f>
        <v/>
      </c>
    </row>
    <row r="857">
      <c r="A857" t="inlineStr">
        <is>
          <t>5907681802143</t>
        </is>
      </c>
      <c r="B857" t="inlineStr">
        <is>
          <t>Kosmed Paluszek Max Bitter Liquid Against Nail Biting And Habitual Thumb Sucking 10 Ml</t>
        </is>
      </c>
      <c r="C857" t="inlineStr">
        <is>
          <t>Nail Oil</t>
        </is>
      </c>
      <c r="D857" t="inlineStr">
        <is>
          <t>Kosmed</t>
        </is>
      </c>
      <c r="E857" t="n">
        <v>3.5</v>
      </c>
      <c r="F857" t="n">
        <v>1</v>
      </c>
      <c r="G857" t="n">
        <v>51</v>
      </c>
      <c r="H857" t="inlineStr">
        <is>
          <t>No</t>
        </is>
      </c>
      <c r="I857" t="inlineStr"/>
      <c r="J857" t="n">
        <v>1</v>
      </c>
      <c r="K857" t="n">
        <v>51</v>
      </c>
      <c r="L857" s="5">
        <f>HYPERLINK("https://api.qogita.com/variants/link/5907681802143/", "View Product")</f>
        <v/>
      </c>
    </row>
    <row r="858">
      <c r="A858" t="inlineStr">
        <is>
          <t>0000030162075</t>
        </is>
      </c>
      <c r="B858" t="inlineStr">
        <is>
          <t>Essie Expressie Nail Polish - 335 Up Up &amp; Away</t>
        </is>
      </c>
      <c r="C858" t="inlineStr">
        <is>
          <t>Nail Care</t>
        </is>
      </c>
      <c r="D858" t="inlineStr">
        <is>
          <t>Essie</t>
        </is>
      </c>
      <c r="E858" t="n">
        <v>4.5</v>
      </c>
      <c r="F858" t="n">
        <v>3</v>
      </c>
      <c r="G858" t="n">
        <v>9</v>
      </c>
      <c r="H858" t="inlineStr">
        <is>
          <t>No</t>
        </is>
      </c>
      <c r="I858" t="inlineStr"/>
      <c r="J858" t="n">
        <v>1</v>
      </c>
      <c r="K858" t="n">
        <v>9</v>
      </c>
      <c r="L858" s="5">
        <f>HYPERLINK("https://api.qogita.com/variants/link/0000030162075/", "View Product")</f>
        <v/>
      </c>
    </row>
    <row r="859">
      <c r="A859" t="inlineStr">
        <is>
          <t>0000030189607</t>
        </is>
      </c>
      <c r="B859" t="inlineStr">
        <is>
          <t>Essie Too Hot To Tame 1010</t>
        </is>
      </c>
      <c r="C859" t="inlineStr">
        <is>
          <t>Nail Care Sets</t>
        </is>
      </c>
      <c r="D859" t="inlineStr">
        <is>
          <t>Essie</t>
        </is>
      </c>
      <c r="E859" t="n">
        <v>4.5</v>
      </c>
      <c r="F859" t="n">
        <v>3</v>
      </c>
      <c r="G859" t="n">
        <v>3</v>
      </c>
      <c r="H859" t="inlineStr">
        <is>
          <t>No</t>
        </is>
      </c>
      <c r="I859" t="inlineStr"/>
      <c r="J859" t="n">
        <v>1</v>
      </c>
      <c r="K859" t="n">
        <v>3</v>
      </c>
      <c r="L859" s="5">
        <f>HYPERLINK("https://api.qogita.com/variants/link/0000030189607/", "View Product")</f>
        <v/>
      </c>
    </row>
    <row r="860">
      <c r="A860" t="inlineStr">
        <is>
          <t>0000030189614</t>
        </is>
      </c>
      <c r="B860" t="inlineStr">
        <is>
          <t>Essie Save A Cowboy 1011</t>
        </is>
      </c>
      <c r="C860" t="inlineStr">
        <is>
          <t>Manicure Sets</t>
        </is>
      </c>
      <c r="D860" t="inlineStr">
        <is>
          <t>Essie</t>
        </is>
      </c>
      <c r="E860" t="n">
        <v>4.73</v>
      </c>
      <c r="F860" t="n">
        <v>3</v>
      </c>
      <c r="G860" t="n">
        <v>3</v>
      </c>
      <c r="H860" t="inlineStr">
        <is>
          <t>No</t>
        </is>
      </c>
      <c r="I860" t="inlineStr"/>
      <c r="J860" t="n">
        <v>1</v>
      </c>
      <c r="K860" t="n">
        <v>3</v>
      </c>
      <c r="L860" s="5">
        <f>HYPERLINK("https://api.qogita.com/variants/link/0000030189614/", "View Product")</f>
        <v/>
      </c>
    </row>
    <row r="861">
      <c r="A861" t="inlineStr">
        <is>
          <t>0000030189621</t>
        </is>
      </c>
      <c r="B861" t="inlineStr">
        <is>
          <t>Essie Boho Rodeo 1012</t>
        </is>
      </c>
      <c r="C861" t="inlineStr">
        <is>
          <t>Nail Care Sets</t>
        </is>
      </c>
      <c r="D861" t="inlineStr">
        <is>
          <t>Essie</t>
        </is>
      </c>
      <c r="E861" t="n">
        <v>4.5</v>
      </c>
      <c r="F861" t="n">
        <v>3</v>
      </c>
      <c r="G861" t="n">
        <v>3</v>
      </c>
      <c r="H861" t="inlineStr">
        <is>
          <t>No</t>
        </is>
      </c>
      <c r="I861" t="inlineStr"/>
      <c r="J861" t="n">
        <v>1</v>
      </c>
      <c r="K861" t="n">
        <v>3</v>
      </c>
      <c r="L861" s="5">
        <f>HYPERLINK("https://api.qogita.com/variants/link/0000030189621/", "View Product")</f>
        <v/>
      </c>
    </row>
    <row r="862">
      <c r="A862" t="inlineStr">
        <is>
          <t>0000030189669</t>
        </is>
      </c>
      <c r="B862" t="inlineStr">
        <is>
          <t>Essie Nail Barn Boheme 20</t>
        </is>
      </c>
      <c r="C862" t="inlineStr">
        <is>
          <t>Nail Care Sets</t>
        </is>
      </c>
      <c r="D862" t="inlineStr">
        <is>
          <t>Essie</t>
        </is>
      </c>
      <c r="E862" t="n">
        <v>4.5</v>
      </c>
      <c r="F862" t="n">
        <v>3</v>
      </c>
      <c r="G862" t="n">
        <v>9</v>
      </c>
      <c r="H862" t="inlineStr">
        <is>
          <t>No</t>
        </is>
      </c>
      <c r="I862" t="inlineStr"/>
      <c r="J862" t="n">
        <v>1</v>
      </c>
      <c r="K862" t="n">
        <v>9</v>
      </c>
      <c r="L862" s="5">
        <f>HYPERLINK("https://api.qogita.com/variants/link/0000030189669/", "View Product")</f>
        <v/>
      </c>
    </row>
    <row r="863">
      <c r="A863" t="inlineStr">
        <is>
          <t>3600531663407</t>
        </is>
      </c>
      <c r="B863" t="inlineStr">
        <is>
          <t>Essie Hard To Resist Advanced Transparent Nail Strengthener 135 Ml</t>
        </is>
      </c>
      <c r="C863" t="inlineStr">
        <is>
          <t>Nail Care Sets</t>
        </is>
      </c>
      <c r="D863" t="inlineStr">
        <is>
          <t>Essie</t>
        </is>
      </c>
      <c r="E863" t="n">
        <v>6.09</v>
      </c>
      <c r="F863" t="n">
        <v>3</v>
      </c>
      <c r="G863" t="n">
        <v>3</v>
      </c>
      <c r="H863" t="inlineStr">
        <is>
          <t>No</t>
        </is>
      </c>
      <c r="I863" t="inlineStr"/>
      <c r="J863" t="n">
        <v>1</v>
      </c>
      <c r="K863" t="n">
        <v>3</v>
      </c>
      <c r="L863" s="5">
        <f>HYPERLINK("https://api.qogita.com/variants/link/3600531663407/", "View Product")</f>
        <v/>
      </c>
    </row>
    <row r="864">
      <c r="A864" t="inlineStr">
        <is>
          <t>3660396011348</t>
        </is>
      </c>
      <c r="B864" t="inlineStr">
        <is>
          <t>Epitact Digitop Teen Protector Nail Corn Medium</t>
        </is>
      </c>
      <c r="C864" t="inlineStr">
        <is>
          <t>Nail Care Sets</t>
        </is>
      </c>
      <c r="D864" t="inlineStr">
        <is>
          <t>Epitact</t>
        </is>
      </c>
      <c r="E864" t="n">
        <v>5.93</v>
      </c>
      <c r="F864" t="n">
        <v>1</v>
      </c>
      <c r="G864" t="n">
        <v>3</v>
      </c>
      <c r="H864" t="inlineStr">
        <is>
          <t>No</t>
        </is>
      </c>
      <c r="I864" t="inlineStr"/>
      <c r="J864" t="n">
        <v>1</v>
      </c>
      <c r="K864" t="n">
        <v>3</v>
      </c>
      <c r="L864" s="5">
        <f>HYPERLINK("https://api.qogita.com/variants/link/3660396011348/", "View Product")</f>
        <v/>
      </c>
    </row>
    <row r="865">
      <c r="A865" t="inlineStr">
        <is>
          <t>3660396019146</t>
        </is>
      </c>
      <c r="B865" t="inlineStr">
        <is>
          <t>EPITACT Sport Blue Nail Protector Size S</t>
        </is>
      </c>
      <c r="C865" t="inlineStr">
        <is>
          <t>Nail Care</t>
        </is>
      </c>
      <c r="D865" t="inlineStr">
        <is>
          <t>Epitact</t>
        </is>
      </c>
      <c r="E865" t="n">
        <v>8.34</v>
      </c>
      <c r="F865" t="n">
        <v>1</v>
      </c>
      <c r="G865" t="n">
        <v>2</v>
      </c>
      <c r="H865" t="inlineStr">
        <is>
          <t>No</t>
        </is>
      </c>
      <c r="I865" t="inlineStr"/>
      <c r="J865" t="n">
        <v>1</v>
      </c>
      <c r="K865" t="n">
        <v>2</v>
      </c>
      <c r="L865" s="5">
        <f>HYPERLINK("https://api.qogita.com/variants/link/3660396019146/", "View Product")</f>
        <v/>
      </c>
    </row>
    <row r="866">
      <c r="A866" t="inlineStr">
        <is>
          <t>3660396019153</t>
        </is>
      </c>
      <c r="B866" t="inlineStr">
        <is>
          <t>Epitact Sport Blue Nail Protector - Medium</t>
        </is>
      </c>
      <c r="C866" t="inlineStr">
        <is>
          <t>Nail Care</t>
        </is>
      </c>
      <c r="D866" t="inlineStr">
        <is>
          <t>Epitact</t>
        </is>
      </c>
      <c r="E866" t="n">
        <v>8.800000000000001</v>
      </c>
      <c r="F866" t="n">
        <v>1</v>
      </c>
      <c r="G866" t="n">
        <v>1</v>
      </c>
      <c r="H866" t="inlineStr">
        <is>
          <t>No</t>
        </is>
      </c>
      <c r="I866" t="inlineStr"/>
      <c r="J866" t="n">
        <v>1</v>
      </c>
      <c r="K866" t="n">
        <v>1</v>
      </c>
      <c r="L866" s="5">
        <f>HYPERLINK("https://api.qogita.com/variants/link/3660396019153/", "View Product")</f>
        <v/>
      </c>
    </row>
    <row r="867">
      <c r="A867" t="inlineStr">
        <is>
          <t>3660396019160</t>
        </is>
      </c>
      <c r="B867" t="inlineStr">
        <is>
          <t>Epitact Sport Blue Nail Protector - Large</t>
        </is>
      </c>
      <c r="C867" t="inlineStr">
        <is>
          <t>Nail Care</t>
        </is>
      </c>
      <c r="D867" t="inlineStr">
        <is>
          <t>Epitact</t>
        </is>
      </c>
      <c r="E867" t="n">
        <v>8.34</v>
      </c>
      <c r="F867" t="n">
        <v>1</v>
      </c>
      <c r="G867" t="n">
        <v>2</v>
      </c>
      <c r="H867" t="inlineStr">
        <is>
          <t>No</t>
        </is>
      </c>
      <c r="I867" t="inlineStr"/>
      <c r="J867" t="n">
        <v>1</v>
      </c>
      <c r="K867" t="n">
        <v>2</v>
      </c>
      <c r="L867" s="5">
        <f>HYPERLINK("https://api.qogita.com/variants/link/3660396019160/", "View Product")</f>
        <v/>
      </c>
    </row>
    <row r="868">
      <c r="A868" t="inlineStr">
        <is>
          <t>3660396019177</t>
        </is>
      </c>
      <c r="B868" t="inlineStr">
        <is>
          <t>EPITACT Sport Blue Nail Protector Size XL</t>
        </is>
      </c>
      <c r="C868" t="inlineStr">
        <is>
          <t>Nail Care</t>
        </is>
      </c>
      <c r="D868" t="inlineStr">
        <is>
          <t>Epitact</t>
        </is>
      </c>
      <c r="E868" t="n">
        <v>8.34</v>
      </c>
      <c r="F868" t="n">
        <v>1</v>
      </c>
      <c r="G868" t="n">
        <v>2</v>
      </c>
      <c r="H868" t="inlineStr">
        <is>
          <t>No</t>
        </is>
      </c>
      <c r="I868" t="inlineStr"/>
      <c r="J868" t="n">
        <v>1</v>
      </c>
      <c r="K868" t="n">
        <v>2</v>
      </c>
      <c r="L868" s="5">
        <f>HYPERLINK("https://api.qogita.com/variants/link/3660396019177/", "View Product")</f>
        <v/>
      </c>
    </row>
    <row r="869">
      <c r="A869" t="inlineStr">
        <is>
          <t>5060120166791</t>
        </is>
      </c>
      <c r="B869" t="inlineStr">
        <is>
          <t>Xpel Nail Polish Remover Acetone Free</t>
        </is>
      </c>
      <c r="C869" t="inlineStr">
        <is>
          <t>Nail Oil</t>
        </is>
      </c>
      <c r="D869" t="inlineStr">
        <is>
          <t>Xpel</t>
        </is>
      </c>
      <c r="E869" t="n">
        <v>1.37</v>
      </c>
      <c r="F869" t="n">
        <v>5</v>
      </c>
      <c r="G869" t="n">
        <v>5</v>
      </c>
      <c r="H869" t="inlineStr">
        <is>
          <t>No</t>
        </is>
      </c>
      <c r="I869" t="inlineStr"/>
      <c r="J869" t="n">
        <v>1</v>
      </c>
      <c r="K869" t="n">
        <v>5</v>
      </c>
      <c r="L869" s="5">
        <f>HYPERLINK("https://api.qogita.com/variants/link/5060120166791/", "View Product")</f>
        <v/>
      </c>
    </row>
    <row r="870">
      <c r="A870" t="inlineStr">
        <is>
          <t>5060120173287</t>
        </is>
      </c>
      <c r="B870" t="inlineStr">
        <is>
          <t>Xpel Nail Care Nail Polish Remover</t>
        </is>
      </c>
      <c r="C870" t="inlineStr">
        <is>
          <t>Nail Oil</t>
        </is>
      </c>
      <c r="D870" t="inlineStr">
        <is>
          <t>Xpel</t>
        </is>
      </c>
      <c r="E870" t="n">
        <v>1.08</v>
      </c>
      <c r="F870" t="n">
        <v>12</v>
      </c>
      <c r="G870" t="n">
        <v>12</v>
      </c>
      <c r="H870" t="inlineStr">
        <is>
          <t>No</t>
        </is>
      </c>
      <c r="I870" t="inlineStr"/>
      <c r="J870" t="n">
        <v>1</v>
      </c>
      <c r="K870" t="n">
        <v>12</v>
      </c>
      <c r="L870" s="5">
        <f>HYPERLINK("https://api.qogita.com/variants/link/5060120173287/", "View Product")</f>
        <v/>
      </c>
    </row>
    <row r="871">
      <c r="A871" t="inlineStr">
        <is>
          <t>8711603257921</t>
        </is>
      </c>
      <c r="B871" t="inlineStr">
        <is>
          <t>Source Balance Nail Brush and Pumice Stone</t>
        </is>
      </c>
      <c r="C871" t="inlineStr">
        <is>
          <t>Nail Clippers &amp; Tools</t>
        </is>
      </c>
      <c r="D871" t="inlineStr">
        <is>
          <t>Source Balance</t>
        </is>
      </c>
      <c r="E871" t="n">
        <v>1.44</v>
      </c>
      <c r="F871" t="n">
        <v>6</v>
      </c>
      <c r="G871" t="n">
        <v>12</v>
      </c>
      <c r="H871" t="inlineStr">
        <is>
          <t>No</t>
        </is>
      </c>
      <c r="I871" t="inlineStr"/>
      <c r="J871" t="n">
        <v>1</v>
      </c>
      <c r="K871" t="n">
        <v>12</v>
      </c>
      <c r="L871" s="5">
        <f>HYPERLINK("https://api.qogita.com/variants/link/8711603257921/", "View Product")</f>
        <v/>
      </c>
    </row>
    <row r="872">
      <c r="A872" t="inlineStr">
        <is>
          <t>8712016014804</t>
        </is>
      </c>
      <c r="B872" t="inlineStr">
        <is>
          <t>Wiertz Waxremover</t>
        </is>
      </c>
      <c r="C872" t="inlineStr">
        <is>
          <t>Nail Care Sets</t>
        </is>
      </c>
      <c r="D872" t="inlineStr">
        <is>
          <t>Wiertz</t>
        </is>
      </c>
      <c r="E872" t="n">
        <v>1.88</v>
      </c>
      <c r="F872" t="n">
        <v>6</v>
      </c>
      <c r="G872" t="n">
        <v>24</v>
      </c>
      <c r="H872" t="inlineStr">
        <is>
          <t>No</t>
        </is>
      </c>
      <c r="I872" t="inlineStr"/>
      <c r="J872" t="n">
        <v>1</v>
      </c>
      <c r="K872" t="n">
        <v>24</v>
      </c>
      <c r="L872" s="5">
        <f>HYPERLINK("https://api.qogita.com/variants/link/8712016014804/", "View Product")</f>
        <v/>
      </c>
    </row>
    <row r="873">
      <c r="A873" t="inlineStr">
        <is>
          <t>8713713024608</t>
        </is>
      </c>
      <c r="B873" t="inlineStr">
        <is>
          <t>Lucovitaal Toenail Treatment</t>
        </is>
      </c>
      <c r="C873" t="inlineStr">
        <is>
          <t>Nail Care Sets</t>
        </is>
      </c>
      <c r="D873" t="inlineStr">
        <is>
          <t>Lucovitaal</t>
        </is>
      </c>
      <c r="E873" t="n">
        <v>3.76</v>
      </c>
      <c r="F873" t="n">
        <v>1</v>
      </c>
      <c r="G873" t="n">
        <v>9</v>
      </c>
      <c r="H873" t="inlineStr">
        <is>
          <t>No</t>
        </is>
      </c>
      <c r="I873" t="inlineStr"/>
      <c r="J873" t="n">
        <v>1</v>
      </c>
      <c r="K873" t="n">
        <v>9</v>
      </c>
      <c r="L873" s="5">
        <f>HYPERLINK("https://api.qogita.com/variants/link/8713713024608/", "View Product")</f>
        <v/>
      </c>
    </row>
    <row r="874">
      <c r="A874" t="inlineStr">
        <is>
          <t>8713713082691</t>
        </is>
      </c>
      <c r="B874" t="inlineStr">
        <is>
          <t>Lucovitaal Nail Growth Oil 30ml</t>
        </is>
      </c>
      <c r="C874" t="inlineStr">
        <is>
          <t>Nail Oil</t>
        </is>
      </c>
      <c r="D874" t="inlineStr">
        <is>
          <t>Lucovitaal</t>
        </is>
      </c>
      <c r="E874" t="n">
        <v>3.18</v>
      </c>
      <c r="F874" t="n">
        <v>1</v>
      </c>
      <c r="G874" t="n">
        <v>2</v>
      </c>
      <c r="H874" t="inlineStr">
        <is>
          <t>No</t>
        </is>
      </c>
      <c r="I874" t="inlineStr"/>
      <c r="J874" t="n">
        <v>1</v>
      </c>
      <c r="K874" t="n">
        <v>2</v>
      </c>
      <c r="L874" s="5">
        <f>HYPERLINK("https://api.qogita.com/variants/link/8713713082691/", "View Product")</f>
        <v/>
      </c>
    </row>
    <row r="875">
      <c r="A875" t="inlineStr">
        <is>
          <t>8713713096193</t>
        </is>
      </c>
      <c r="B875" t="inlineStr">
        <is>
          <t>Lucovitaal Toenail Pens Duo Treatment &amp; Conceal</t>
        </is>
      </c>
      <c r="C875" t="inlineStr">
        <is>
          <t>Nail Care</t>
        </is>
      </c>
      <c r="D875" t="inlineStr">
        <is>
          <t>Lucovitaal</t>
        </is>
      </c>
      <c r="E875" t="n">
        <v>4.87</v>
      </c>
      <c r="F875" t="n">
        <v>1</v>
      </c>
      <c r="G875" t="n">
        <v>3</v>
      </c>
      <c r="H875" t="inlineStr">
        <is>
          <t>No</t>
        </is>
      </c>
      <c r="I875" t="inlineStr"/>
      <c r="J875" t="n">
        <v>1</v>
      </c>
      <c r="K875" t="n">
        <v>3</v>
      </c>
      <c r="L875" s="5">
        <f>HYPERLINK("https://api.qogita.com/variants/link/8713713096193/", "View Product")</f>
        <v/>
      </c>
    </row>
    <row r="876">
      <c r="A876" t="inlineStr">
        <is>
          <t>8715268001349</t>
        </is>
      </c>
      <c r="B876" t="inlineStr">
        <is>
          <t>Betra Nail Brush Wood Set 5 Pieces</t>
        </is>
      </c>
      <c r="C876" t="inlineStr">
        <is>
          <t>Nail Care Sets</t>
        </is>
      </c>
      <c r="D876" t="inlineStr">
        <is>
          <t>Betra</t>
        </is>
      </c>
      <c r="E876" t="n">
        <v>4.27</v>
      </c>
      <c r="F876" t="n">
        <v>20</v>
      </c>
      <c r="G876" t="n">
        <v>20</v>
      </c>
      <c r="H876" t="inlineStr">
        <is>
          <t>No</t>
        </is>
      </c>
      <c r="I876" t="inlineStr"/>
      <c r="J876" t="n">
        <v>1</v>
      </c>
      <c r="K876" t="n">
        <v>20</v>
      </c>
      <c r="L876" s="5">
        <f>HYPERLINK("https://api.qogita.com/variants/link/8715268001349/", "View Product")</f>
        <v/>
      </c>
    </row>
    <row r="877">
      <c r="A877" t="inlineStr">
        <is>
          <t>8715268001363</t>
        </is>
      </c>
      <c r="B877" t="inlineStr">
        <is>
          <t>Betra Nail Brush - Plastic Set 5 Pcs</t>
        </is>
      </c>
      <c r="C877" t="inlineStr">
        <is>
          <t>Nail Care Sets</t>
        </is>
      </c>
      <c r="D877" t="inlineStr">
        <is>
          <t>Betra</t>
        </is>
      </c>
      <c r="E877" t="n">
        <v>3.16</v>
      </c>
      <c r="F877" t="n">
        <v>20</v>
      </c>
      <c r="G877" t="n">
        <v>40</v>
      </c>
      <c r="H877" t="inlineStr">
        <is>
          <t>No</t>
        </is>
      </c>
      <c r="I877" t="inlineStr"/>
      <c r="J877" t="n">
        <v>1</v>
      </c>
      <c r="K877" t="n">
        <v>40</v>
      </c>
      <c r="L877" s="5">
        <f>HYPERLINK("https://api.qogita.com/variants/link/8715268001363/", "View Product")</f>
        <v/>
      </c>
    </row>
    <row r="878">
      <c r="A878" t="inlineStr">
        <is>
          <t>8717591567424</t>
        </is>
      </c>
      <c r="B878" t="inlineStr">
        <is>
          <t>2b Nail Clippers 2 Pcs</t>
        </is>
      </c>
      <c r="C878" t="inlineStr">
        <is>
          <t>Nail Clippers &amp; Tools</t>
        </is>
      </c>
      <c r="D878" t="inlineStr">
        <is>
          <t>2b</t>
        </is>
      </c>
      <c r="E878" t="n">
        <v>3.51</v>
      </c>
      <c r="F878" t="n">
        <v>6</v>
      </c>
      <c r="G878" t="n">
        <v>12</v>
      </c>
      <c r="H878" t="inlineStr">
        <is>
          <t>No</t>
        </is>
      </c>
      <c r="I878" t="inlineStr"/>
      <c r="J878" t="n">
        <v>1</v>
      </c>
      <c r="K878" t="n">
        <v>12</v>
      </c>
      <c r="L878" s="5">
        <f>HYPERLINK("https://api.qogita.com/variants/link/8717591567424/", "View Product")</f>
        <v/>
      </c>
    </row>
    <row r="879">
      <c r="A879" t="inlineStr">
        <is>
          <t>8717591567790</t>
        </is>
      </c>
      <c r="B879" t="inlineStr">
        <is>
          <t>Sensista Natural Nails Rescue Nail Care 11 Ml</t>
        </is>
      </c>
      <c r="C879" t="inlineStr">
        <is>
          <t>Nail Oil</t>
        </is>
      </c>
      <c r="D879" t="inlineStr">
        <is>
          <t>Sensista</t>
        </is>
      </c>
      <c r="E879" t="n">
        <v>4.63</v>
      </c>
      <c r="F879" t="n">
        <v>3</v>
      </c>
      <c r="G879" t="n">
        <v>3</v>
      </c>
      <c r="H879" t="inlineStr">
        <is>
          <t>No</t>
        </is>
      </c>
      <c r="I879" t="inlineStr"/>
      <c r="J879" t="n">
        <v>1</v>
      </c>
      <c r="K879" t="n">
        <v>3</v>
      </c>
      <c r="L879" s="5">
        <f>HYPERLINK("https://api.qogita.com/variants/link/8717591567790/", "View Product")</f>
        <v/>
      </c>
    </row>
    <row r="880">
      <c r="A880" t="inlineStr">
        <is>
          <t>8717591569169</t>
        </is>
      </c>
      <c r="B880" t="inlineStr">
        <is>
          <t>Sensista Sensista Base Coat</t>
        </is>
      </c>
      <c r="C880" t="inlineStr">
        <is>
          <t>Nail Care Sets</t>
        </is>
      </c>
      <c r="D880" t="inlineStr">
        <is>
          <t>Sensista</t>
        </is>
      </c>
      <c r="E880" t="n">
        <v>6.93</v>
      </c>
      <c r="F880" t="n">
        <v>5</v>
      </c>
      <c r="G880" t="n">
        <v>5</v>
      </c>
      <c r="H880" t="inlineStr">
        <is>
          <t>No</t>
        </is>
      </c>
      <c r="I880" t="inlineStr"/>
      <c r="J880" t="n">
        <v>1</v>
      </c>
      <c r="K880" t="n">
        <v>5</v>
      </c>
      <c r="L880" s="5">
        <f>HYPERLINK("https://api.qogita.com/variants/link/8717591569169/", "View Product")</f>
        <v/>
      </c>
    </row>
    <row r="881">
      <c r="A881" t="inlineStr">
        <is>
          <t>0616513700018</t>
        </is>
      </c>
      <c r="B881" t="inlineStr">
        <is>
          <t>Cala Nail Clipper with File Chain</t>
        </is>
      </c>
      <c r="C881" t="inlineStr">
        <is>
          <t>Nail Clippers &amp; Tools</t>
        </is>
      </c>
      <c r="D881" t="inlineStr">
        <is>
          <t>Cala</t>
        </is>
      </c>
      <c r="E881" t="n">
        <v>1.02</v>
      </c>
      <c r="F881" t="n">
        <v>6</v>
      </c>
      <c r="G881" t="n">
        <v>264</v>
      </c>
      <c r="H881" t="inlineStr">
        <is>
          <t>No</t>
        </is>
      </c>
      <c r="I881" t="inlineStr"/>
      <c r="J881" t="n">
        <v>2</v>
      </c>
      <c r="K881" t="n">
        <v>529</v>
      </c>
      <c r="L881" s="5">
        <f>HYPERLINK("https://api.qogita.com/variants/link/0616513700018/", "View Product")</f>
        <v/>
      </c>
    </row>
    <row r="882">
      <c r="A882" t="inlineStr">
        <is>
          <t>0616513700025</t>
        </is>
      </c>
      <c r="B882" t="inlineStr">
        <is>
          <t>Cala Nail Clipper with File</t>
        </is>
      </c>
      <c r="C882" t="inlineStr">
        <is>
          <t>Nail Clippers &amp; Tools</t>
        </is>
      </c>
      <c r="D882" t="inlineStr">
        <is>
          <t>Cala</t>
        </is>
      </c>
      <c r="E882" t="n">
        <v>1.02</v>
      </c>
      <c r="F882" t="n">
        <v>6</v>
      </c>
      <c r="G882" t="n">
        <v>258</v>
      </c>
      <c r="H882" t="inlineStr">
        <is>
          <t>No</t>
        </is>
      </c>
      <c r="I882" t="inlineStr"/>
      <c r="J882" t="n">
        <v>2</v>
      </c>
      <c r="K882" t="n">
        <v>521</v>
      </c>
      <c r="L882" s="5">
        <f>HYPERLINK("https://api.qogita.com/variants/link/0616513700025/", "View Product")</f>
        <v/>
      </c>
    </row>
    <row r="883">
      <c r="A883" t="inlineStr">
        <is>
          <t>0616513700179</t>
        </is>
      </c>
      <c r="B883" t="inlineStr">
        <is>
          <t>Cala Deluxe Nail Clipper with File Chain</t>
        </is>
      </c>
      <c r="C883" t="inlineStr">
        <is>
          <t>Nail Clippers &amp; Tools</t>
        </is>
      </c>
      <c r="D883" t="inlineStr">
        <is>
          <t>Cala</t>
        </is>
      </c>
      <c r="E883" t="n">
        <v>1.02</v>
      </c>
      <c r="F883" t="n">
        <v>6</v>
      </c>
      <c r="G883" t="n">
        <v>270</v>
      </c>
      <c r="H883" t="inlineStr">
        <is>
          <t>No</t>
        </is>
      </c>
      <c r="I883" t="inlineStr"/>
      <c r="J883" t="n">
        <v>2</v>
      </c>
      <c r="K883" t="n">
        <v>540</v>
      </c>
      <c r="L883" s="5">
        <f>HYPERLINK("https://api.qogita.com/variants/link/0616513700179/", "View Product")</f>
        <v/>
      </c>
    </row>
    <row r="884">
      <c r="A884" t="inlineStr">
        <is>
          <t>0616513700773</t>
        </is>
      </c>
      <c r="B884" t="inlineStr">
        <is>
          <t>Cala Toenail Clipper for Foot Care</t>
        </is>
      </c>
      <c r="C884" t="inlineStr">
        <is>
          <t>Nail Clippers &amp; Tools</t>
        </is>
      </c>
      <c r="D884" t="inlineStr">
        <is>
          <t>Cala</t>
        </is>
      </c>
      <c r="E884" t="n">
        <v>1.02</v>
      </c>
      <c r="F884" t="n">
        <v>6</v>
      </c>
      <c r="G884" t="n">
        <v>240</v>
      </c>
      <c r="H884" t="inlineStr">
        <is>
          <t>No</t>
        </is>
      </c>
      <c r="I884" t="inlineStr"/>
      <c r="J884" t="n">
        <v>2</v>
      </c>
      <c r="K884" t="n">
        <v>483</v>
      </c>
      <c r="L884" s="5">
        <f>HYPERLINK("https://api.qogita.com/variants/link/0616513700773/", "View Product")</f>
        <v/>
      </c>
    </row>
    <row r="885">
      <c r="A885" t="inlineStr">
        <is>
          <t>0616513700780</t>
        </is>
      </c>
      <c r="B885" t="inlineStr">
        <is>
          <t>Cala Toenail Clipper with File for Foot Care</t>
        </is>
      </c>
      <c r="C885" t="inlineStr">
        <is>
          <t>Nail Clippers &amp; Tools</t>
        </is>
      </c>
      <c r="D885" t="inlineStr">
        <is>
          <t>Cala</t>
        </is>
      </c>
      <c r="E885" t="n">
        <v>1.51</v>
      </c>
      <c r="F885" t="n">
        <v>6</v>
      </c>
      <c r="G885" t="n">
        <v>258</v>
      </c>
      <c r="H885" t="inlineStr">
        <is>
          <t>No</t>
        </is>
      </c>
      <c r="I885" t="inlineStr"/>
      <c r="J885" t="n">
        <v>2</v>
      </c>
      <c r="K885" t="n">
        <v>520</v>
      </c>
      <c r="L885" s="5">
        <f>HYPERLINK("https://api.qogita.com/variants/link/0616513700780/", "View Product")</f>
        <v/>
      </c>
    </row>
    <row r="886">
      <c r="A886" t="inlineStr">
        <is>
          <t>0616513700889</t>
        </is>
      </c>
      <c r="B886" t="inlineStr">
        <is>
          <t>Cala Straight Cut Toenail Clipper</t>
        </is>
      </c>
      <c r="C886" t="inlineStr">
        <is>
          <t>Nail Clippers &amp; Tools</t>
        </is>
      </c>
      <c r="D886" t="inlineStr">
        <is>
          <t>Cala</t>
        </is>
      </c>
      <c r="E886" t="n">
        <v>1.51</v>
      </c>
      <c r="F886" t="n">
        <v>6</v>
      </c>
      <c r="G886" t="n">
        <v>264</v>
      </c>
      <c r="H886" t="inlineStr">
        <is>
          <t>No</t>
        </is>
      </c>
      <c r="I886" t="inlineStr"/>
      <c r="J886" t="n">
        <v>2</v>
      </c>
      <c r="K886" t="n">
        <v>532</v>
      </c>
      <c r="L886" s="5">
        <f>HYPERLINK("https://api.qogita.com/variants/link/0616513700889/", "View Product")</f>
        <v/>
      </c>
    </row>
    <row r="887">
      <c r="A887" t="inlineStr">
        <is>
          <t>0616513701046</t>
        </is>
      </c>
      <c r="B887" t="inlineStr">
        <is>
          <t>Flamingo Palm Nail File</t>
        </is>
      </c>
      <c r="C887" t="inlineStr">
        <is>
          <t>Nail Care</t>
        </is>
      </c>
      <c r="D887" t="inlineStr">
        <is>
          <t>Cala</t>
        </is>
      </c>
      <c r="E887" t="n">
        <v>2.54</v>
      </c>
      <c r="F887" t="n">
        <v>1</v>
      </c>
      <c r="G887" t="n">
        <v>1</v>
      </c>
      <c r="H887" t="inlineStr">
        <is>
          <t>No</t>
        </is>
      </c>
      <c r="I887" t="inlineStr"/>
      <c r="J887" t="n">
        <v>2</v>
      </c>
      <c r="K887" t="n">
        <v>2</v>
      </c>
      <c r="L887" s="5">
        <f>HYPERLINK("https://api.qogita.com/variants/link/0616513701046/", "View Product")</f>
        <v/>
      </c>
    </row>
    <row r="888">
      <c r="A888" t="inlineStr">
        <is>
          <t>0616513702326</t>
        </is>
      </c>
      <c r="B888" t="inlineStr">
        <is>
          <t>Cala Pumice Stone and Nail Brush for Foot Care</t>
        </is>
      </c>
      <c r="C888" t="inlineStr">
        <is>
          <t>Nail Care</t>
        </is>
      </c>
      <c r="D888" t="inlineStr">
        <is>
          <t>Cala</t>
        </is>
      </c>
      <c r="E888" t="n">
        <v>1.96</v>
      </c>
      <c r="F888" t="n">
        <v>6</v>
      </c>
      <c r="G888" t="n">
        <v>174</v>
      </c>
      <c r="H888" t="inlineStr">
        <is>
          <t>No</t>
        </is>
      </c>
      <c r="I888" t="inlineStr"/>
      <c r="J888" t="n">
        <v>2</v>
      </c>
      <c r="K888" t="n">
        <v>348</v>
      </c>
      <c r="L888" s="5">
        <f>HYPERLINK("https://api.qogita.com/variants/link/0616513702326/", "View Product")</f>
        <v/>
      </c>
    </row>
    <row r="889">
      <c r="A889" t="inlineStr">
        <is>
          <t>0616513702722</t>
        </is>
      </c>
      <c r="B889" t="inlineStr">
        <is>
          <t>Cala Deluxe Cuticle Pusher Trimmer for Manicure and Pedicure</t>
        </is>
      </c>
      <c r="C889" t="inlineStr">
        <is>
          <t>Cuticle Removers</t>
        </is>
      </c>
      <c r="D889" t="inlineStr">
        <is>
          <t>Cala</t>
        </is>
      </c>
      <c r="E889" t="n">
        <v>1.51</v>
      </c>
      <c r="F889" t="n">
        <v>6</v>
      </c>
      <c r="G889" t="n">
        <v>240</v>
      </c>
      <c r="H889" t="inlineStr">
        <is>
          <t>No</t>
        </is>
      </c>
      <c r="I889" t="inlineStr"/>
      <c r="J889" t="n">
        <v>2</v>
      </c>
      <c r="K889" t="n">
        <v>485</v>
      </c>
      <c r="L889" s="5">
        <f>HYPERLINK("https://api.qogita.com/variants/link/0616513702722/", "View Product")</f>
        <v/>
      </c>
    </row>
    <row r="890">
      <c r="A890" t="inlineStr">
        <is>
          <t>0616513703118</t>
        </is>
      </c>
      <c r="B890" t="inlineStr">
        <is>
          <t>Cala Nipper Type Nail Clipper</t>
        </is>
      </c>
      <c r="C890" t="inlineStr">
        <is>
          <t>Nail Clippers &amp; Tools</t>
        </is>
      </c>
      <c r="D890" t="inlineStr">
        <is>
          <t>Cala</t>
        </is>
      </c>
      <c r="E890" t="n">
        <v>1.51</v>
      </c>
      <c r="F890" t="n">
        <v>6</v>
      </c>
      <c r="G890" t="n">
        <v>246</v>
      </c>
      <c r="H890" t="inlineStr">
        <is>
          <t>No</t>
        </is>
      </c>
      <c r="I890" t="inlineStr"/>
      <c r="J890" t="n">
        <v>2</v>
      </c>
      <c r="K890" t="n">
        <v>494</v>
      </c>
      <c r="L890" s="5">
        <f>HYPERLINK("https://api.qogita.com/variants/link/0616513703118/", "View Product")</f>
        <v/>
      </c>
    </row>
    <row r="891">
      <c r="A891" t="inlineStr">
        <is>
          <t>0616513704016</t>
        </is>
      </c>
      <c r="B891" t="inlineStr">
        <is>
          <t>Cala Family Manicure Kit - Complete Nail Care Accessories</t>
        </is>
      </c>
      <c r="C891" t="inlineStr">
        <is>
          <t>Manicure Sets</t>
        </is>
      </c>
      <c r="D891" t="inlineStr">
        <is>
          <t>Cala</t>
        </is>
      </c>
      <c r="E891" t="n">
        <v>1.96</v>
      </c>
      <c r="F891" t="n">
        <v>6</v>
      </c>
      <c r="G891" t="n">
        <v>270</v>
      </c>
      <c r="H891" t="inlineStr">
        <is>
          <t>No</t>
        </is>
      </c>
      <c r="I891" t="inlineStr"/>
      <c r="J891" t="n">
        <v>2</v>
      </c>
      <c r="K891" t="n">
        <v>543</v>
      </c>
      <c r="L891" s="5">
        <f>HYPERLINK("https://api.qogita.com/variants/link/0616513704016/", "View Product")</f>
        <v/>
      </c>
    </row>
    <row r="892">
      <c r="A892" t="inlineStr">
        <is>
          <t>0616513704214</t>
        </is>
      </c>
      <c r="B892" t="inlineStr">
        <is>
          <t>Cala Deluxe Toenail Clipper - Professional Nail Clipper for Manicure and Pedicure</t>
        </is>
      </c>
      <c r="C892" t="inlineStr">
        <is>
          <t>Nail Clippers &amp; Tools</t>
        </is>
      </c>
      <c r="D892" t="inlineStr">
        <is>
          <t>Cala</t>
        </is>
      </c>
      <c r="E892" t="n">
        <v>1.96</v>
      </c>
      <c r="F892" t="n">
        <v>6</v>
      </c>
      <c r="G892" t="n">
        <v>252</v>
      </c>
      <c r="H892" t="inlineStr">
        <is>
          <t>No</t>
        </is>
      </c>
      <c r="I892" t="inlineStr"/>
      <c r="J892" t="n">
        <v>2</v>
      </c>
      <c r="K892" t="n">
        <v>508</v>
      </c>
      <c r="L892" s="5">
        <f>HYPERLINK("https://api.qogita.com/variants/link/0616513704214/", "View Product")</f>
        <v/>
      </c>
    </row>
    <row r="893">
      <c r="A893" t="inlineStr">
        <is>
          <t>0616513704221</t>
        </is>
      </c>
      <c r="B893" t="inlineStr">
        <is>
          <t>Cala Cuticle Trimmer Sapphire File</t>
        </is>
      </c>
      <c r="C893" t="inlineStr">
        <is>
          <t>Cuticle Removers</t>
        </is>
      </c>
      <c r="D893" t="inlineStr">
        <is>
          <t>Cala</t>
        </is>
      </c>
      <c r="E893" t="n">
        <v>1.02</v>
      </c>
      <c r="F893" t="n">
        <v>6</v>
      </c>
      <c r="G893" t="n">
        <v>264</v>
      </c>
      <c r="H893" t="inlineStr">
        <is>
          <t>No</t>
        </is>
      </c>
      <c r="I893" t="inlineStr"/>
      <c r="J893" t="n">
        <v>2</v>
      </c>
      <c r="K893" t="n">
        <v>529</v>
      </c>
      <c r="L893" s="5">
        <f>HYPERLINK("https://api.qogita.com/variants/link/0616513704221/", "View Product")</f>
        <v/>
      </c>
    </row>
    <row r="894">
      <c r="A894" t="inlineStr">
        <is>
          <t>0616513704252</t>
        </is>
      </c>
      <c r="B894" t="inlineStr">
        <is>
          <t>Cala Nail Clipper and Slant Tweezers Set for Manicure and Pedicure</t>
        </is>
      </c>
      <c r="C894" t="inlineStr">
        <is>
          <t>Nail Clippers &amp; Tools</t>
        </is>
      </c>
      <c r="D894" t="inlineStr">
        <is>
          <t>Cala</t>
        </is>
      </c>
      <c r="E894" t="n">
        <v>1.51</v>
      </c>
      <c r="F894" t="n">
        <v>6</v>
      </c>
      <c r="G894" t="n">
        <v>264</v>
      </c>
      <c r="H894" t="inlineStr">
        <is>
          <t>No</t>
        </is>
      </c>
      <c r="I894" t="inlineStr"/>
      <c r="J894" t="n">
        <v>2</v>
      </c>
      <c r="K894" t="n">
        <v>529</v>
      </c>
      <c r="L894" s="5">
        <f>HYPERLINK("https://api.qogita.com/variants/link/0616513704252/", "View Product")</f>
        <v/>
      </c>
    </row>
    <row r="895">
      <c r="A895" t="inlineStr">
        <is>
          <t>0616513704511</t>
        </is>
      </c>
      <c r="B895" t="inlineStr">
        <is>
          <t>Cala Baby Nail Clipper Assorted Animal Shapes</t>
        </is>
      </c>
      <c r="C895" t="inlineStr">
        <is>
          <t>Nail Clippers &amp; Tools</t>
        </is>
      </c>
      <c r="D895" t="inlineStr">
        <is>
          <t>Cala</t>
        </is>
      </c>
      <c r="E895" t="n">
        <v>1.96</v>
      </c>
      <c r="F895" t="n">
        <v>6</v>
      </c>
      <c r="G895" t="n">
        <v>264</v>
      </c>
      <c r="H895" t="inlineStr">
        <is>
          <t>No</t>
        </is>
      </c>
      <c r="I895" t="inlineStr"/>
      <c r="J895" t="n">
        <v>2</v>
      </c>
      <c r="K895" t="n">
        <v>528</v>
      </c>
      <c r="L895" s="5">
        <f>HYPERLINK("https://api.qogita.com/variants/link/0616513704511/", "View Product")</f>
        <v/>
      </c>
    </row>
    <row r="896">
      <c r="A896" t="inlineStr">
        <is>
          <t>0616513707000</t>
        </is>
      </c>
      <c r="B896" t="inlineStr">
        <is>
          <t>Cala Cuticle Scissors for Manicure and Pedicure</t>
        </is>
      </c>
      <c r="C896" t="inlineStr">
        <is>
          <t>Cuticle Removers</t>
        </is>
      </c>
      <c r="D896" t="inlineStr">
        <is>
          <t>Cala</t>
        </is>
      </c>
      <c r="E896" t="n">
        <v>1.51</v>
      </c>
      <c r="F896" t="n">
        <v>6</v>
      </c>
      <c r="G896" t="n">
        <v>222</v>
      </c>
      <c r="H896" t="inlineStr">
        <is>
          <t>No</t>
        </is>
      </c>
      <c r="I896" t="inlineStr"/>
      <c r="J896" t="n">
        <v>2</v>
      </c>
      <c r="K896" t="n">
        <v>449</v>
      </c>
      <c r="L896" s="5">
        <f>HYPERLINK("https://api.qogita.com/variants/link/0616513707000/", "View Product")</f>
        <v/>
      </c>
    </row>
    <row r="897">
      <c r="A897" t="inlineStr">
        <is>
          <t>0616513707024</t>
        </is>
      </c>
      <c r="B897" t="inlineStr">
        <is>
          <t>Cala Cuticle Removers 2 Pieces</t>
        </is>
      </c>
      <c r="C897" t="inlineStr">
        <is>
          <t>Cuticle Removers</t>
        </is>
      </c>
      <c r="D897" t="inlineStr">
        <is>
          <t>Cala</t>
        </is>
      </c>
      <c r="E897" t="n">
        <v>1.02</v>
      </c>
      <c r="F897" t="n">
        <v>6</v>
      </c>
      <c r="G897" t="n">
        <v>252</v>
      </c>
      <c r="H897" t="inlineStr">
        <is>
          <t>No</t>
        </is>
      </c>
      <c r="I897" t="inlineStr"/>
      <c r="J897" t="n">
        <v>2</v>
      </c>
      <c r="K897" t="n">
        <v>509</v>
      </c>
      <c r="L897" s="5">
        <f>HYPERLINK("https://api.qogita.com/variants/link/0616513707024/", "View Product")</f>
        <v/>
      </c>
    </row>
    <row r="898">
      <c r="A898" t="inlineStr">
        <is>
          <t>0616513707079</t>
        </is>
      </c>
      <c r="B898" t="inlineStr">
        <is>
          <t>Cala Sapphire Nail File</t>
        </is>
      </c>
      <c r="C898" t="inlineStr">
        <is>
          <t>Nail Care</t>
        </is>
      </c>
      <c r="D898" t="inlineStr">
        <is>
          <t>Cala</t>
        </is>
      </c>
      <c r="E898" t="n">
        <v>1.02</v>
      </c>
      <c r="F898" t="n">
        <v>6</v>
      </c>
      <c r="G898" t="n">
        <v>264</v>
      </c>
      <c r="H898" t="inlineStr">
        <is>
          <t>No</t>
        </is>
      </c>
      <c r="I898" t="inlineStr"/>
      <c r="J898" t="n">
        <v>2</v>
      </c>
      <c r="K898" t="n">
        <v>530</v>
      </c>
      <c r="L898" s="5">
        <f>HYPERLINK("https://api.qogita.com/variants/link/0616513707079/", "View Product")</f>
        <v/>
      </c>
    </row>
    <row r="899">
      <c r="A899" t="inlineStr">
        <is>
          <t>0616513707086</t>
        </is>
      </c>
      <c r="B899" t="inlineStr">
        <is>
          <t>Cala Deluxe Cuticle Trimmer for Manicure and Pedicure</t>
        </is>
      </c>
      <c r="C899" t="inlineStr">
        <is>
          <t>Cuticle Removers</t>
        </is>
      </c>
      <c r="D899" t="inlineStr">
        <is>
          <t>Cala</t>
        </is>
      </c>
      <c r="E899" t="n">
        <v>1.02</v>
      </c>
      <c r="F899" t="n">
        <v>6</v>
      </c>
      <c r="G899" t="n">
        <v>264</v>
      </c>
      <c r="H899" t="inlineStr">
        <is>
          <t>No</t>
        </is>
      </c>
      <c r="I899" t="inlineStr"/>
      <c r="J899" t="n">
        <v>2</v>
      </c>
      <c r="K899" t="n">
        <v>530</v>
      </c>
      <c r="L899" s="5">
        <f>HYPERLINK("https://api.qogita.com/variants/link/0616513707086/", "View Product")</f>
        <v/>
      </c>
    </row>
    <row r="900">
      <c r="A900" t="inlineStr">
        <is>
          <t>0616513707130</t>
        </is>
      </c>
      <c r="B900" t="inlineStr">
        <is>
          <t>Cala Cuticle Nipper 1/2 Inch Jaw Single Spring</t>
        </is>
      </c>
      <c r="C900" t="inlineStr">
        <is>
          <t>Cuticle Removers</t>
        </is>
      </c>
      <c r="D900" t="inlineStr">
        <is>
          <t>Cala</t>
        </is>
      </c>
      <c r="E900" t="n">
        <v>4.26</v>
      </c>
      <c r="F900" t="n">
        <v>6</v>
      </c>
      <c r="G900" t="n">
        <v>156</v>
      </c>
      <c r="H900" t="inlineStr">
        <is>
          <t>No</t>
        </is>
      </c>
      <c r="I900" t="inlineStr"/>
      <c r="J900" t="n">
        <v>2</v>
      </c>
      <c r="K900" t="n">
        <v>316</v>
      </c>
      <c r="L900" s="5">
        <f>HYPERLINK("https://api.qogita.com/variants/link/0616513707130/", "View Product")</f>
        <v/>
      </c>
    </row>
    <row r="901">
      <c r="A901" t="inlineStr">
        <is>
          <t>0616513707796</t>
        </is>
      </c>
      <c r="B901" t="inlineStr">
        <is>
          <t>Cala Stainless Steel Nail Scissors for Manicure and Pedicure</t>
        </is>
      </c>
      <c r="C901" t="inlineStr">
        <is>
          <t>Nail Clippers &amp; Tools</t>
        </is>
      </c>
      <c r="D901" t="inlineStr">
        <is>
          <t>Cala</t>
        </is>
      </c>
      <c r="E901" t="n">
        <v>2.45</v>
      </c>
      <c r="F901" t="n">
        <v>6</v>
      </c>
      <c r="G901" t="n">
        <v>102</v>
      </c>
      <c r="H901" t="inlineStr">
        <is>
          <t>No</t>
        </is>
      </c>
      <c r="I901" t="inlineStr"/>
      <c r="J901" t="n">
        <v>2</v>
      </c>
      <c r="K901" t="n">
        <v>205</v>
      </c>
      <c r="L901" s="5">
        <f>HYPERLINK("https://api.qogita.com/variants/link/0616513707796/", "View Product")</f>
        <v/>
      </c>
    </row>
    <row r="902">
      <c r="A902" t="inlineStr">
        <is>
          <t>0616513707949</t>
        </is>
      </c>
      <c r="B902" t="inlineStr">
        <is>
          <t>Cala Cuticle Pusher Cleaner for Manicure and Pedicure</t>
        </is>
      </c>
      <c r="C902" t="inlineStr">
        <is>
          <t>Cuticle Removers</t>
        </is>
      </c>
      <c r="D902" t="inlineStr">
        <is>
          <t>Cala</t>
        </is>
      </c>
      <c r="E902" t="n">
        <v>3.34</v>
      </c>
      <c r="F902" t="n">
        <v>6</v>
      </c>
      <c r="G902" t="n">
        <v>114</v>
      </c>
      <c r="H902" t="inlineStr">
        <is>
          <t>No</t>
        </is>
      </c>
      <c r="I902" t="inlineStr"/>
      <c r="J902" t="n">
        <v>2</v>
      </c>
      <c r="K902" t="n">
        <v>228</v>
      </c>
      <c r="L902" s="5">
        <f>HYPERLINK("https://api.qogita.com/variants/link/0616513707949/", "View Product")</f>
        <v/>
      </c>
    </row>
    <row r="903">
      <c r="A903" t="inlineStr">
        <is>
          <t>0616513707956</t>
        </is>
      </c>
      <c r="B903" t="inlineStr">
        <is>
          <t>Cala Cuticle Pusher and Pterygium Remover for Manicure and Pedicure</t>
        </is>
      </c>
      <c r="C903" t="inlineStr">
        <is>
          <t>Cuticle Removers</t>
        </is>
      </c>
      <c r="D903" t="inlineStr">
        <is>
          <t>Cala</t>
        </is>
      </c>
      <c r="E903" t="n">
        <v>3.34</v>
      </c>
      <c r="F903" t="n">
        <v>6</v>
      </c>
      <c r="G903" t="n">
        <v>114</v>
      </c>
      <c r="H903" t="inlineStr">
        <is>
          <t>No</t>
        </is>
      </c>
      <c r="I903" t="inlineStr"/>
      <c r="J903" t="n">
        <v>2</v>
      </c>
      <c r="K903" t="n">
        <v>233</v>
      </c>
      <c r="L903" s="5">
        <f>HYPERLINK("https://api.qogita.com/variants/link/0616513707956/", "View Product")</f>
        <v/>
      </c>
    </row>
    <row r="904">
      <c r="A904" t="inlineStr">
        <is>
          <t>8436612701066</t>
        </is>
      </c>
      <c r="B904" t="inlineStr">
        <is>
          <t>Viva la Diva Hot Trends Rock Treatment Nail Polish Oil Nutrition</t>
        </is>
      </c>
      <c r="C904" t="inlineStr">
        <is>
          <t>Nail Oil</t>
        </is>
      </c>
      <c r="D904" t="inlineStr">
        <is>
          <t>Viva La Diva</t>
        </is>
      </c>
      <c r="E904" t="n">
        <v>1.67</v>
      </c>
      <c r="F904" t="n">
        <v>6</v>
      </c>
      <c r="G904" t="n">
        <v>2256</v>
      </c>
      <c r="H904" t="inlineStr">
        <is>
          <t>No</t>
        </is>
      </c>
      <c r="I904" t="inlineStr"/>
      <c r="J904" t="n">
        <v>2</v>
      </c>
      <c r="K904" t="n">
        <v>4512</v>
      </c>
      <c r="L904" s="5">
        <f>HYPERLINK("https://api.qogita.com/variants/link/8436612701066/", "View Product")</f>
        <v/>
      </c>
    </row>
    <row r="905">
      <c r="A905" t="inlineStr">
        <is>
          <t>8019622061087</t>
        </is>
      </c>
      <c r="B905" t="inlineStr">
        <is>
          <t>Xanitaliapro Nail Cuticle Oil Betacarotene 30ml</t>
        </is>
      </c>
      <c r="C905" t="inlineStr">
        <is>
          <t>Nail Oil</t>
        </is>
      </c>
      <c r="D905" t="inlineStr">
        <is>
          <t>Xanitalia</t>
        </is>
      </c>
      <c r="E905" t="n">
        <v>3.16</v>
      </c>
      <c r="F905" t="n">
        <v>1</v>
      </c>
      <c r="G905" t="n">
        <v>11</v>
      </c>
      <c r="H905" t="inlineStr">
        <is>
          <t>No</t>
        </is>
      </c>
      <c r="I905" t="inlineStr"/>
      <c r="J905" t="n">
        <v>1</v>
      </c>
      <c r="K905" t="n">
        <v>11</v>
      </c>
      <c r="L905" s="5">
        <f>HYPERLINK("https://api.qogita.com/variants/link/8019622061087/", "View Product")</f>
        <v/>
      </c>
    </row>
    <row r="906">
      <c r="A906" t="inlineStr">
        <is>
          <t>8019622144193</t>
        </is>
      </c>
      <c r="B906" t="inlineStr">
        <is>
          <t>Xanitalia Pro Xan Pro Guillotine Pincer For Nail Extensions</t>
        </is>
      </c>
      <c r="C906" t="inlineStr">
        <is>
          <t>Nail Clippers &amp; Tools</t>
        </is>
      </c>
      <c r="D906" t="inlineStr">
        <is>
          <t>Xanitalia</t>
        </is>
      </c>
      <c r="E906" t="n">
        <v>2.53</v>
      </c>
      <c r="F906" t="n">
        <v>1</v>
      </c>
      <c r="G906" t="n">
        <v>6</v>
      </c>
      <c r="H906" t="inlineStr">
        <is>
          <t>No</t>
        </is>
      </c>
      <c r="I906" t="inlineStr"/>
      <c r="J906" t="n">
        <v>1</v>
      </c>
      <c r="K906" t="n">
        <v>6</v>
      </c>
      <c r="L906" s="5">
        <f>HYPERLINK("https://api.qogita.com/variants/link/8019622144193/", "View Product")</f>
        <v/>
      </c>
    </row>
    <row r="907">
      <c r="A907" t="inlineStr">
        <is>
          <t>8019622144209</t>
        </is>
      </c>
      <c r="B907" t="inlineStr">
        <is>
          <t>Xanitalia Pro Xan Pro Manicure Sticks - Pack Of 8 Pieces</t>
        </is>
      </c>
      <c r="C907" t="inlineStr">
        <is>
          <t>Manicure Sets</t>
        </is>
      </c>
      <c r="D907" t="inlineStr">
        <is>
          <t>Xanitalia</t>
        </is>
      </c>
      <c r="E907" t="n">
        <v>0.51</v>
      </c>
      <c r="F907" t="n">
        <v>1</v>
      </c>
      <c r="G907" t="n">
        <v>26</v>
      </c>
      <c r="H907" t="inlineStr">
        <is>
          <t>No</t>
        </is>
      </c>
      <c r="I907" t="inlineStr"/>
      <c r="J907" t="n">
        <v>1</v>
      </c>
      <c r="K907" t="n">
        <v>26</v>
      </c>
      <c r="L907" s="5">
        <f>HYPERLINK("https://api.qogita.com/variants/link/8019622144209/", "View Product")</f>
        <v/>
      </c>
    </row>
    <row r="908">
      <c r="A908" t="inlineStr">
        <is>
          <t>8019622144414</t>
        </is>
      </c>
      <c r="B908" t="inlineStr">
        <is>
          <t>XanitaliaPro Nail File with Two Zones Washable Medium Grit 150/220 Banana-Shaped</t>
        </is>
      </c>
      <c r="C908" t="inlineStr">
        <is>
          <t>Nail Care</t>
        </is>
      </c>
      <c r="D908" t="inlineStr">
        <is>
          <t>Xanitalia</t>
        </is>
      </c>
      <c r="E908" t="n">
        <v>0.66</v>
      </c>
      <c r="F908" t="n">
        <v>1</v>
      </c>
      <c r="G908" t="n">
        <v>15</v>
      </c>
      <c r="H908" t="inlineStr">
        <is>
          <t>No</t>
        </is>
      </c>
      <c r="I908" t="inlineStr"/>
      <c r="J908" t="n">
        <v>1</v>
      </c>
      <c r="K908" t="n">
        <v>15</v>
      </c>
      <c r="L908" s="5">
        <f>HYPERLINK("https://api.qogita.com/variants/link/8019622144414/", "View Product")</f>
        <v/>
      </c>
    </row>
    <row r="909">
      <c r="A909" t="inlineStr">
        <is>
          <t>8019622144421</t>
        </is>
      </c>
      <c r="B909" t="inlineStr">
        <is>
          <t>XanitaliaPro Nail File with Two Zones Thick Washable Hard 100/100</t>
        </is>
      </c>
      <c r="C909" t="inlineStr">
        <is>
          <t>Nail Care</t>
        </is>
      </c>
      <c r="D909" t="inlineStr">
        <is>
          <t>Xanitalia</t>
        </is>
      </c>
      <c r="E909" t="n">
        <v>0.85</v>
      </c>
      <c r="F909" t="n">
        <v>1</v>
      </c>
      <c r="G909" t="n">
        <v>11</v>
      </c>
      <c r="H909" t="inlineStr">
        <is>
          <t>No</t>
        </is>
      </c>
      <c r="I909" t="inlineStr"/>
      <c r="J909" t="n">
        <v>1</v>
      </c>
      <c r="K909" t="n">
        <v>11</v>
      </c>
      <c r="L909" s="5">
        <f>HYPERLINK("https://api.qogita.com/variants/link/8019622144421/", "View Product")</f>
        <v/>
      </c>
    </row>
    <row r="910">
      <c r="A910" t="inlineStr">
        <is>
          <t>8019622144445</t>
        </is>
      </c>
      <c r="B910" t="inlineStr">
        <is>
          <t>Xanitaliapro Nail File with Two Zones Thick Washable</t>
        </is>
      </c>
      <c r="C910" t="inlineStr">
        <is>
          <t>Nail Care</t>
        </is>
      </c>
      <c r="D910" t="inlineStr">
        <is>
          <t>Beauty360</t>
        </is>
      </c>
      <c r="E910" t="n">
        <v>0.8</v>
      </c>
      <c r="F910" t="n">
        <v>1</v>
      </c>
      <c r="G910" t="n">
        <v>9</v>
      </c>
      <c r="H910" t="inlineStr">
        <is>
          <t>No</t>
        </is>
      </c>
      <c r="I910" t="inlineStr"/>
      <c r="J910" t="n">
        <v>1</v>
      </c>
      <c r="K910" t="n">
        <v>9</v>
      </c>
      <c r="L910" s="5">
        <f>HYPERLINK("https://api.qogita.com/variants/link/8019622144445/", "View Product")</f>
        <v/>
      </c>
    </row>
    <row r="911">
      <c r="A911" t="inlineStr">
        <is>
          <t>8019622145381</t>
        </is>
      </c>
      <c r="B911" t="inlineStr">
        <is>
          <t>XanitaliaPro Washable Hard Nail Files 100/100 - 2 Sides</t>
        </is>
      </c>
      <c r="C911" t="inlineStr">
        <is>
          <t>Nail Care</t>
        </is>
      </c>
      <c r="D911" t="inlineStr">
        <is>
          <t>Xanitalia</t>
        </is>
      </c>
      <c r="E911" t="n">
        <v>0.63</v>
      </c>
      <c r="F911" t="n">
        <v>1</v>
      </c>
      <c r="G911" t="n">
        <v>11</v>
      </c>
      <c r="H911" t="inlineStr">
        <is>
          <t>No</t>
        </is>
      </c>
      <c r="I911" t="inlineStr"/>
      <c r="J911" t="n">
        <v>1</v>
      </c>
      <c r="K911" t="n">
        <v>11</v>
      </c>
      <c r="L911" s="5">
        <f>HYPERLINK("https://api.qogita.com/variants/link/8019622145381/", "View Product")</f>
        <v/>
      </c>
    </row>
    <row r="912">
      <c r="A912" t="inlineStr">
        <is>
          <t>8019622145398</t>
        </is>
      </c>
      <c r="B912" t="inlineStr">
        <is>
          <t>XanitaliaPro Polishing Nail File with Four Grit Zones Washable 100/180/240/320</t>
        </is>
      </c>
      <c r="C912" t="inlineStr">
        <is>
          <t>Nail Care</t>
        </is>
      </c>
      <c r="D912" t="inlineStr">
        <is>
          <t>Xanitalia</t>
        </is>
      </c>
      <c r="E912" t="n">
        <v>1.16</v>
      </c>
      <c r="F912" t="n">
        <v>1</v>
      </c>
      <c r="G912" t="n">
        <v>5</v>
      </c>
      <c r="H912" t="inlineStr">
        <is>
          <t>No</t>
        </is>
      </c>
      <c r="I912" t="inlineStr"/>
      <c r="J912" t="n">
        <v>1</v>
      </c>
      <c r="K912" t="n">
        <v>5</v>
      </c>
      <c r="L912" s="5">
        <f>HYPERLINK("https://api.qogita.com/variants/link/8019622145398/", "View Product")</f>
        <v/>
      </c>
    </row>
    <row r="913">
      <c r="A913" t="inlineStr">
        <is>
          <t>8019622145404</t>
        </is>
      </c>
      <c r="B913" t="inlineStr">
        <is>
          <t>Xanitaliapro Nail File With 6 Zones Short Washable Grits 15022032060012003000</t>
        </is>
      </c>
      <c r="C913" t="inlineStr">
        <is>
          <t>Nail Clippers &amp; Tools</t>
        </is>
      </c>
      <c r="D913" t="inlineStr">
        <is>
          <t>Xanitalia</t>
        </is>
      </c>
      <c r="E913" t="n">
        <v>1.18</v>
      </c>
      <c r="F913" t="n">
        <v>1</v>
      </c>
      <c r="G913" t="n">
        <v>3</v>
      </c>
      <c r="H913" t="inlineStr">
        <is>
          <t>No</t>
        </is>
      </c>
      <c r="I913" t="inlineStr"/>
      <c r="J913" t="n">
        <v>1</v>
      </c>
      <c r="K913" t="n">
        <v>3</v>
      </c>
      <c r="L913" s="5">
        <f>HYPERLINK("https://api.qogita.com/variants/link/8019622145404/", "View Product")</f>
        <v/>
      </c>
    </row>
    <row r="914">
      <c r="A914" t="inlineStr">
        <is>
          <t>8019622145428</t>
        </is>
      </c>
      <c r="B914" t="inlineStr">
        <is>
          <t>Xanitaliapro Nail File With Two Zones Thick Washable Medium 220220</t>
        </is>
      </c>
      <c r="C914" t="inlineStr">
        <is>
          <t>Nail Clippers &amp; Tools</t>
        </is>
      </c>
      <c r="D914" t="inlineStr">
        <is>
          <t>Xanitalia</t>
        </is>
      </c>
      <c r="E914" t="n">
        <v>0.8</v>
      </c>
      <c r="F914" t="n">
        <v>1</v>
      </c>
      <c r="G914" t="n">
        <v>36</v>
      </c>
      <c r="H914" t="inlineStr">
        <is>
          <t>No</t>
        </is>
      </c>
      <c r="I914" t="inlineStr"/>
      <c r="J914" t="n">
        <v>1</v>
      </c>
      <c r="K914" t="n">
        <v>36</v>
      </c>
      <c r="L914" s="5">
        <f>HYPERLINK("https://api.qogita.com/variants/link/8019622145428/", "View Product")</f>
        <v/>
      </c>
    </row>
    <row r="915">
      <c r="A915" t="inlineStr">
        <is>
          <t>8019622145435</t>
        </is>
      </c>
      <c r="B915" t="inlineStr">
        <is>
          <t>Xanitaliapro Nail File With Two Zones Thick Washable Hard 100180</t>
        </is>
      </c>
      <c r="C915" t="inlineStr">
        <is>
          <t>Nail Clippers &amp; Tools</t>
        </is>
      </c>
      <c r="D915" t="inlineStr">
        <is>
          <t>Xanitalia</t>
        </is>
      </c>
      <c r="E915" t="n">
        <v>0.85</v>
      </c>
      <c r="F915" t="n">
        <v>1</v>
      </c>
      <c r="G915" t="n">
        <v>11</v>
      </c>
      <c r="H915" t="inlineStr">
        <is>
          <t>No</t>
        </is>
      </c>
      <c r="I915" t="inlineStr"/>
      <c r="J915" t="n">
        <v>1</v>
      </c>
      <c r="K915" t="n">
        <v>11</v>
      </c>
      <c r="L915" s="5">
        <f>HYPERLINK("https://api.qogita.com/variants/link/8019622145435/", "View Product")</f>
        <v/>
      </c>
    </row>
    <row r="916">
      <c r="A916" t="inlineStr">
        <is>
          <t>8019622145442</t>
        </is>
      </c>
      <c r="B916" t="inlineStr">
        <is>
          <t>Xanitaliapro Nail File With Two Zones Thick Washable Zebra 100180</t>
        </is>
      </c>
      <c r="C916" t="inlineStr">
        <is>
          <t>Nail Clippers &amp; Tools</t>
        </is>
      </c>
      <c r="D916" t="inlineStr">
        <is>
          <t>Xanitalia</t>
        </is>
      </c>
      <c r="E916" t="n">
        <v>0.85</v>
      </c>
      <c r="F916" t="n">
        <v>1</v>
      </c>
      <c r="G916" t="n">
        <v>13</v>
      </c>
      <c r="H916" t="inlineStr">
        <is>
          <t>No</t>
        </is>
      </c>
      <c r="I916" t="inlineStr"/>
      <c r="J916" t="n">
        <v>1</v>
      </c>
      <c r="K916" t="n">
        <v>13</v>
      </c>
      <c r="L916" s="5">
        <f>HYPERLINK("https://api.qogita.com/variants/link/8019622145442/", "View Product")</f>
        <v/>
      </c>
    </row>
    <row r="917">
      <c r="A917" t="inlineStr">
        <is>
          <t>8019622145466</t>
        </is>
      </c>
      <c r="B917" t="inlineStr">
        <is>
          <t>Beauty360 Nail File 600/4000 Made of Grey Leather</t>
        </is>
      </c>
      <c r="C917" t="inlineStr">
        <is>
          <t>Nail Care</t>
        </is>
      </c>
      <c r="D917" t="inlineStr">
        <is>
          <t>Beauty360</t>
        </is>
      </c>
      <c r="E917" t="n">
        <v>1.35</v>
      </c>
      <c r="F917" t="n">
        <v>1</v>
      </c>
      <c r="G917" t="n">
        <v>14</v>
      </c>
      <c r="H917" t="inlineStr">
        <is>
          <t>No</t>
        </is>
      </c>
      <c r="I917" t="inlineStr"/>
      <c r="J917" t="n">
        <v>1</v>
      </c>
      <c r="K917" t="n">
        <v>14</v>
      </c>
      <c r="L917" s="5">
        <f>HYPERLINK("https://api.qogita.com/variants/link/8019622145466/", "View Product")</f>
        <v/>
      </c>
    </row>
    <row r="918">
      <c r="A918" t="inlineStr">
        <is>
          <t>8019622145473</t>
        </is>
      </c>
      <c r="B918" t="inlineStr">
        <is>
          <t>Xanitaliapro Polishing Nail File With Three Zones Washable</t>
        </is>
      </c>
      <c r="C918" t="inlineStr">
        <is>
          <t>Nail Clippers &amp; Tools</t>
        </is>
      </c>
      <c r="D918" t="inlineStr">
        <is>
          <t>Xanitalia</t>
        </is>
      </c>
      <c r="E918" t="n">
        <v>1.3</v>
      </c>
      <c r="F918" t="n">
        <v>1</v>
      </c>
      <c r="G918" t="n">
        <v>22</v>
      </c>
      <c r="H918" t="inlineStr">
        <is>
          <t>No</t>
        </is>
      </c>
      <c r="I918" t="inlineStr"/>
      <c r="J918" t="n">
        <v>1</v>
      </c>
      <c r="K918" t="n">
        <v>22</v>
      </c>
      <c r="L918" s="5">
        <f>HYPERLINK("https://api.qogita.com/variants/link/8019622145473/", "View Product")</f>
        <v/>
      </c>
    </row>
    <row r="919">
      <c r="A919" t="inlineStr">
        <is>
          <t>8019622145497</t>
        </is>
      </c>
      <c r="B919" t="inlineStr">
        <is>
          <t>Xanitaliapro Polishing Nail File With Four Zones Washable 24060012003000</t>
        </is>
      </c>
      <c r="C919" t="inlineStr">
        <is>
          <t>Nail Clippers &amp; Tools</t>
        </is>
      </c>
      <c r="D919" t="inlineStr">
        <is>
          <t>Xanitalia</t>
        </is>
      </c>
      <c r="E919" t="n">
        <v>1.1</v>
      </c>
      <c r="F919" t="n">
        <v>1</v>
      </c>
      <c r="G919" t="n">
        <v>14</v>
      </c>
      <c r="H919" t="inlineStr">
        <is>
          <t>No</t>
        </is>
      </c>
      <c r="I919" t="inlineStr"/>
      <c r="J919" t="n">
        <v>1</v>
      </c>
      <c r="K919" t="n">
        <v>14</v>
      </c>
      <c r="L919" s="5">
        <f>HYPERLINK("https://api.qogita.com/variants/link/8019622145497/", "View Product")</f>
        <v/>
      </c>
    </row>
    <row r="920">
      <c r="A920" t="inlineStr">
        <is>
          <t>8019622151108</t>
        </is>
      </c>
      <c r="B920" t="inlineStr">
        <is>
          <t>Xanitaliapro Nail Form Templates Small Template 500 Pieces</t>
        </is>
      </c>
      <c r="C920" t="inlineStr">
        <is>
          <t>Nail Clippers &amp; Tools</t>
        </is>
      </c>
      <c r="D920" t="inlineStr">
        <is>
          <t>Xanitalia</t>
        </is>
      </c>
      <c r="E920" t="n">
        <v>3.96</v>
      </c>
      <c r="F920" t="n">
        <v>1</v>
      </c>
      <c r="G920" t="n">
        <v>2</v>
      </c>
      <c r="H920" t="inlineStr">
        <is>
          <t>No</t>
        </is>
      </c>
      <c r="I920" t="inlineStr"/>
      <c r="J920" t="n">
        <v>1</v>
      </c>
      <c r="K920" t="n">
        <v>2</v>
      </c>
      <c r="L920" s="5">
        <f>HYPERLINK("https://api.qogita.com/variants/link/8019622151108/", "View Product")</f>
        <v/>
      </c>
    </row>
    <row r="921">
      <c r="A921" t="inlineStr">
        <is>
          <t>8019622151122</t>
        </is>
      </c>
      <c r="B921" t="inlineStr">
        <is>
          <t>Xanitalia Pro Xan Pro Roll Of 500 Large Nail Guides</t>
        </is>
      </c>
      <c r="C921" t="inlineStr">
        <is>
          <t>Nail Care</t>
        </is>
      </c>
      <c r="D921" t="inlineStr">
        <is>
          <t>Xanitalia</t>
        </is>
      </c>
      <c r="E921" t="n">
        <v>4.74</v>
      </c>
      <c r="F921" t="n">
        <v>1</v>
      </c>
      <c r="G921" t="n">
        <v>4</v>
      </c>
      <c r="H921" t="inlineStr">
        <is>
          <t>No</t>
        </is>
      </c>
      <c r="I921" t="inlineStr"/>
      <c r="J921" t="n">
        <v>1</v>
      </c>
      <c r="K921" t="n">
        <v>4</v>
      </c>
      <c r="L921" s="5">
        <f>HYPERLINK("https://api.qogita.com/variants/link/8019622151122/", "View Product")</f>
        <v/>
      </c>
    </row>
    <row r="922">
      <c r="A922" t="inlineStr">
        <is>
          <t>8019622152655</t>
        </is>
      </c>
      <c r="B922" t="inlineStr">
        <is>
          <t>Xanitaliapro Nail Form Templates Narrow Template 500 Pieces</t>
        </is>
      </c>
      <c r="C922" t="inlineStr">
        <is>
          <t>Nail Clippers &amp; Tools</t>
        </is>
      </c>
      <c r="D922" t="inlineStr">
        <is>
          <t>Xanitalia</t>
        </is>
      </c>
      <c r="E922" t="n">
        <v>5.93</v>
      </c>
      <c r="F922" t="n">
        <v>1</v>
      </c>
      <c r="G922" t="n">
        <v>4</v>
      </c>
      <c r="H922" t="inlineStr">
        <is>
          <t>No</t>
        </is>
      </c>
      <c r="I922" t="inlineStr"/>
      <c r="J922" t="n">
        <v>1</v>
      </c>
      <c r="K922" t="n">
        <v>4</v>
      </c>
      <c r="L922" s="5">
        <f>HYPERLINK("https://api.qogita.com/variants/link/8019622152655/", "View Product")</f>
        <v/>
      </c>
    </row>
    <row r="923">
      <c r="A923" t="inlineStr">
        <is>
          <t>8019622152662</t>
        </is>
      </c>
      <c r="B923" t="inlineStr">
        <is>
          <t>Xanitaliapro Nail Form Templates Butterfly Template White 500 Pieces</t>
        </is>
      </c>
      <c r="C923" t="inlineStr">
        <is>
          <t>Nail Clippers &amp; Tools</t>
        </is>
      </c>
      <c r="D923" t="inlineStr">
        <is>
          <t>Xanitalia</t>
        </is>
      </c>
      <c r="E923" t="n">
        <v>6.25</v>
      </c>
      <c r="F923" t="n">
        <v>1</v>
      </c>
      <c r="G923" t="n">
        <v>3</v>
      </c>
      <c r="H923" t="inlineStr">
        <is>
          <t>No</t>
        </is>
      </c>
      <c r="I923" t="inlineStr"/>
      <c r="J923" t="n">
        <v>1</v>
      </c>
      <c r="K923" t="n">
        <v>3</v>
      </c>
      <c r="L923" s="5">
        <f>HYPERLINK("https://api.qogita.com/variants/link/8019622152662/", "View Product")</f>
        <v/>
      </c>
    </row>
    <row r="924">
      <c r="A924" t="inlineStr">
        <is>
          <t>8019622182232</t>
        </is>
      </c>
      <c r="B924" t="inlineStr">
        <is>
          <t>Xanitalia Pro Xan Pro Replacement Bowl For Hot Manicure</t>
        </is>
      </c>
      <c r="C924" t="inlineStr">
        <is>
          <t>Nail Care</t>
        </is>
      </c>
      <c r="D924" t="inlineStr">
        <is>
          <t>Xanitalia</t>
        </is>
      </c>
      <c r="E924" t="n">
        <v>2.4</v>
      </c>
      <c r="F924" t="n">
        <v>1</v>
      </c>
      <c r="G924" t="n">
        <v>9</v>
      </c>
      <c r="H924" t="inlineStr">
        <is>
          <t>No</t>
        </is>
      </c>
      <c r="I924" t="inlineStr"/>
      <c r="J924" t="n">
        <v>1</v>
      </c>
      <c r="K924" t="n">
        <v>9</v>
      </c>
      <c r="L924" s="5">
        <f>HYPERLINK("https://api.qogita.com/variants/link/8019622182232/", "View Product")</f>
        <v/>
      </c>
    </row>
    <row r="925">
      <c r="A925" t="inlineStr">
        <is>
          <t>8019622216890</t>
        </is>
      </c>
      <c r="B925" t="inlineStr">
        <is>
          <t>Disposable Set for Beauticians - Complete Manicure and Pedicure System</t>
        </is>
      </c>
      <c r="C925" t="inlineStr">
        <is>
          <t>Manicure Sets</t>
        </is>
      </c>
      <c r="D925" t="inlineStr">
        <is>
          <t>Xanitalia</t>
        </is>
      </c>
      <c r="E925" t="n">
        <v>1.96</v>
      </c>
      <c r="F925" t="n">
        <v>1</v>
      </c>
      <c r="G925" t="n">
        <v>11</v>
      </c>
      <c r="H925" t="inlineStr">
        <is>
          <t>No</t>
        </is>
      </c>
      <c r="I925" t="inlineStr"/>
      <c r="J925" t="n">
        <v>1</v>
      </c>
      <c r="K925" t="n">
        <v>11</v>
      </c>
      <c r="L925" s="5">
        <f>HYPERLINK("https://api.qogita.com/variants/link/8019622216890/", "View Product")</f>
        <v/>
      </c>
    </row>
    <row r="926">
      <c r="A926" t="inlineStr">
        <is>
          <t>8019622219051</t>
        </is>
      </c>
      <c r="B926" t="inlineStr">
        <is>
          <t>Xanitaliapro Gel System Four Tronic Uv Led Lamp For The Polymerization Of Uv Hardening Gel Nail Polish</t>
        </is>
      </c>
      <c r="C926" t="inlineStr">
        <is>
          <t>Nail Care Sets</t>
        </is>
      </c>
      <c r="D926" t="inlineStr">
        <is>
          <t>Xanitalia</t>
        </is>
      </c>
      <c r="E926" t="n">
        <v>18.87</v>
      </c>
      <c r="F926" t="n">
        <v>1</v>
      </c>
      <c r="G926" t="n">
        <v>1</v>
      </c>
      <c r="H926" t="inlineStr">
        <is>
          <t>No</t>
        </is>
      </c>
      <c r="I926" t="inlineStr"/>
      <c r="J926" t="n">
        <v>1</v>
      </c>
      <c r="K926" t="n">
        <v>1</v>
      </c>
      <c r="L926" s="5">
        <f>HYPERLINK("https://api.qogita.com/variants/link/8019622219051/", "View Product")</f>
        <v/>
      </c>
    </row>
    <row r="927">
      <c r="A927" t="inlineStr">
        <is>
          <t>8019622232852</t>
        </is>
      </c>
      <c r="B927" t="inlineStr">
        <is>
          <t>Xanitaliapro Polishing Nail File With Two Zones Washable Zebra Hard 100180 Pack Of 10 Pieces</t>
        </is>
      </c>
      <c r="C927" t="inlineStr">
        <is>
          <t>Nail Clippers &amp; Tools</t>
        </is>
      </c>
      <c r="D927" t="inlineStr">
        <is>
          <t>Xanitalia</t>
        </is>
      </c>
      <c r="E927" t="n">
        <v>6.71</v>
      </c>
      <c r="F927" t="n">
        <v>1</v>
      </c>
      <c r="G927" t="n">
        <v>7</v>
      </c>
      <c r="H927" t="inlineStr">
        <is>
          <t>No</t>
        </is>
      </c>
      <c r="I927" t="inlineStr"/>
      <c r="J927" t="n">
        <v>1</v>
      </c>
      <c r="K927" t="n">
        <v>7</v>
      </c>
      <c r="L927" s="5">
        <f>HYPERLINK("https://api.qogita.com/variants/link/8019622232852/", "View Product")</f>
        <v/>
      </c>
    </row>
    <row r="928">
      <c r="A928" t="inlineStr">
        <is>
          <t>8019622281560</t>
        </is>
      </c>
      <c r="B928" t="inlineStr">
        <is>
          <t>Flat Cuticle Pusher with Knife</t>
        </is>
      </c>
      <c r="C928" t="inlineStr">
        <is>
          <t>Cuticle Removers</t>
        </is>
      </c>
      <c r="D928" t="inlineStr">
        <is>
          <t>Beauty360</t>
        </is>
      </c>
      <c r="E928" t="n">
        <v>2.89</v>
      </c>
      <c r="F928" t="n">
        <v>1</v>
      </c>
      <c r="G928" t="n">
        <v>4</v>
      </c>
      <c r="H928" t="inlineStr">
        <is>
          <t>No</t>
        </is>
      </c>
      <c r="I928" t="inlineStr"/>
      <c r="J928" t="n">
        <v>1</v>
      </c>
      <c r="K928" t="n">
        <v>4</v>
      </c>
      <c r="L928" s="5">
        <f>HYPERLINK("https://api.qogita.com/variants/link/8019622281560/", "View Product")</f>
        <v/>
      </c>
    </row>
    <row r="929">
      <c r="A929" t="inlineStr">
        <is>
          <t>8019622979030</t>
        </is>
      </c>
      <c r="B929" t="inlineStr">
        <is>
          <t>Xanitalia Pro Xan Pro Nail Clipper Stainless Steel</t>
        </is>
      </c>
      <c r="C929" t="inlineStr">
        <is>
          <t>Nail Clippers &amp; Tools</t>
        </is>
      </c>
      <c r="D929" t="inlineStr">
        <is>
          <t>Xanitalia</t>
        </is>
      </c>
      <c r="E929" t="n">
        <v>8.779999999999999</v>
      </c>
      <c r="F929" t="n">
        <v>1</v>
      </c>
      <c r="G929" t="n">
        <v>3</v>
      </c>
      <c r="H929" t="inlineStr">
        <is>
          <t>No</t>
        </is>
      </c>
      <c r="I929" t="inlineStr"/>
      <c r="J929" t="n">
        <v>1</v>
      </c>
      <c r="K929" t="n">
        <v>3</v>
      </c>
      <c r="L929" s="5">
        <f>HYPERLINK("https://api.qogita.com/variants/link/8019622979030/", "View Product")</f>
        <v/>
      </c>
    </row>
    <row r="930">
      <c r="A930" t="inlineStr">
        <is>
          <t>8019622979115</t>
        </is>
      </c>
      <c r="B930" t="inlineStr">
        <is>
          <t>Xanitaliapro Round Tip Nail Scissors Stainless Steel</t>
        </is>
      </c>
      <c r="C930" t="inlineStr">
        <is>
          <t>Nail Clippers &amp; Tools</t>
        </is>
      </c>
      <c r="D930" t="inlineStr">
        <is>
          <t>Xanitalia</t>
        </is>
      </c>
      <c r="E930" t="n">
        <v>2.89</v>
      </c>
      <c r="F930" t="n">
        <v>1</v>
      </c>
      <c r="G930" t="n">
        <v>4</v>
      </c>
      <c r="H930" t="inlineStr">
        <is>
          <t>No</t>
        </is>
      </c>
      <c r="I930" t="inlineStr"/>
      <c r="J930" t="n">
        <v>1</v>
      </c>
      <c r="K930" t="n">
        <v>4</v>
      </c>
      <c r="L930" s="5">
        <f>HYPERLINK("https://api.qogita.com/variants/link/8019622979115/", "View Product")</f>
        <v/>
      </c>
    </row>
    <row r="931">
      <c r="A931" t="inlineStr">
        <is>
          <t>8019622979139</t>
        </is>
      </c>
      <c r="B931" t="inlineStr">
        <is>
          <t>Xanitaliapro Nail And Cuticle Scissors Dual Use Stainless Steel Scissors</t>
        </is>
      </c>
      <c r="C931" t="inlineStr">
        <is>
          <t>Nail Clippers &amp; Tools</t>
        </is>
      </c>
      <c r="D931" t="inlineStr">
        <is>
          <t>Xanitalia</t>
        </is>
      </c>
      <c r="E931" t="n">
        <v>3.34</v>
      </c>
      <c r="F931" t="n">
        <v>1</v>
      </c>
      <c r="G931" t="n">
        <v>8</v>
      </c>
      <c r="H931" t="inlineStr">
        <is>
          <t>No</t>
        </is>
      </c>
      <c r="I931" t="inlineStr"/>
      <c r="J931" t="n">
        <v>1</v>
      </c>
      <c r="K931" t="n">
        <v>8</v>
      </c>
      <c r="L931" s="5">
        <f>HYPERLINK("https://api.qogita.com/variants/link/8019622979139/", "View Product")</f>
        <v/>
      </c>
    </row>
    <row r="932">
      <c r="A932" t="inlineStr">
        <is>
          <t>8050712008100</t>
        </is>
      </c>
      <c r="B932" t="inlineStr">
        <is>
          <t>Xanitaliapro Cuticle Nipper With Lever Action Concave Blade 17mm Length 16cm</t>
        </is>
      </c>
      <c r="C932" t="inlineStr">
        <is>
          <t>Nail Clippers &amp; Tools</t>
        </is>
      </c>
      <c r="D932" t="inlineStr">
        <is>
          <t>Xanitalia</t>
        </is>
      </c>
      <c r="E932" t="n">
        <v>10.07</v>
      </c>
      <c r="F932" t="n">
        <v>1</v>
      </c>
      <c r="G932" t="n">
        <v>2</v>
      </c>
      <c r="H932" t="inlineStr">
        <is>
          <t>No</t>
        </is>
      </c>
      <c r="I932" t="inlineStr"/>
      <c r="J932" t="n">
        <v>1</v>
      </c>
      <c r="K932" t="n">
        <v>2</v>
      </c>
      <c r="L932" s="5">
        <f>HYPERLINK("https://api.qogita.com/variants/link/8050712008100/", "View Product")</f>
        <v/>
      </c>
    </row>
    <row r="933">
      <c r="A933" t="inlineStr">
        <is>
          <t>8050712008124</t>
        </is>
      </c>
      <c r="B933" t="inlineStr">
        <is>
          <t>Xanitaliapro Cuticle Nipper With Concave Blade 20mm And Length 14cm</t>
        </is>
      </c>
      <c r="C933" t="inlineStr">
        <is>
          <t>Nail Clippers &amp; Tools</t>
        </is>
      </c>
      <c r="D933" t="inlineStr">
        <is>
          <t>Xanitalia</t>
        </is>
      </c>
      <c r="E933" t="n">
        <v>10.68</v>
      </c>
      <c r="F933" t="n">
        <v>1</v>
      </c>
      <c r="G933" t="n">
        <v>2</v>
      </c>
      <c r="H933" t="inlineStr">
        <is>
          <t>No</t>
        </is>
      </c>
      <c r="I933" t="inlineStr"/>
      <c r="J933" t="n">
        <v>1</v>
      </c>
      <c r="K933" t="n">
        <v>2</v>
      </c>
      <c r="L933" s="5">
        <f>HYPERLINK("https://api.qogita.com/variants/link/8050712008124/", "View Product")</f>
        <v/>
      </c>
    </row>
    <row r="934">
      <c r="A934" t="inlineStr">
        <is>
          <t>8050712008155</t>
        </is>
      </c>
      <c r="B934" t="inlineStr">
        <is>
          <t>Xanitaliapro Cuticle Nipper With Concave Blade 15mm And Rounded Tip Length 12cm</t>
        </is>
      </c>
      <c r="C934" t="inlineStr">
        <is>
          <t>Nail Clippers &amp; Tools</t>
        </is>
      </c>
      <c r="D934" t="inlineStr">
        <is>
          <t>Xanitalia</t>
        </is>
      </c>
      <c r="E934" t="n">
        <v>13.12</v>
      </c>
      <c r="F934" t="n">
        <v>1</v>
      </c>
      <c r="G934" t="n">
        <v>2</v>
      </c>
      <c r="H934" t="inlineStr">
        <is>
          <t>No</t>
        </is>
      </c>
      <c r="I934" t="inlineStr"/>
      <c r="J934" t="n">
        <v>1</v>
      </c>
      <c r="K934" t="n">
        <v>2</v>
      </c>
      <c r="L934" s="5">
        <f>HYPERLINK("https://api.qogita.com/variants/link/8050712008155/", "View Product")</f>
        <v/>
      </c>
    </row>
    <row r="935">
      <c r="A935" t="inlineStr">
        <is>
          <t>8050712011216</t>
        </is>
      </c>
      <c r="B935" t="inlineStr">
        <is>
          <t>Double-Sided Laser Pedicure Nail File</t>
        </is>
      </c>
      <c r="C935" t="inlineStr">
        <is>
          <t>Nail Care</t>
        </is>
      </c>
      <c r="D935" t="inlineStr">
        <is>
          <t>Beauty360</t>
        </is>
      </c>
      <c r="E935" t="n">
        <v>4.93</v>
      </c>
      <c r="F935" t="n">
        <v>1</v>
      </c>
      <c r="G935" t="n">
        <v>2</v>
      </c>
      <c r="H935" t="inlineStr">
        <is>
          <t>No</t>
        </is>
      </c>
      <c r="I935" t="inlineStr"/>
      <c r="J935" t="n">
        <v>1</v>
      </c>
      <c r="K935" t="n">
        <v>2</v>
      </c>
      <c r="L935" s="5">
        <f>HYPERLINK("https://api.qogita.com/variants/link/8050712011216/", "View Product")</f>
        <v/>
      </c>
    </row>
    <row r="936">
      <c r="A936" t="inlineStr">
        <is>
          <t>8050712050000</t>
        </is>
      </c>
      <c r="B936" t="inlineStr">
        <is>
          <t>Xanitaliapro Moisturizing Oil With Panthenol And Calendula Nail Treatments 30ml</t>
        </is>
      </c>
      <c r="C936" t="inlineStr">
        <is>
          <t>Nail Oil</t>
        </is>
      </c>
      <c r="D936" t="inlineStr">
        <is>
          <t>Xanitalia</t>
        </is>
      </c>
      <c r="E936" t="n">
        <v>3.16</v>
      </c>
      <c r="F936" t="n">
        <v>1</v>
      </c>
      <c r="G936" t="n">
        <v>8</v>
      </c>
      <c r="H936" t="inlineStr">
        <is>
          <t>No</t>
        </is>
      </c>
      <c r="I936" t="inlineStr"/>
      <c r="J936" t="n">
        <v>1</v>
      </c>
      <c r="K936" t="n">
        <v>8</v>
      </c>
      <c r="L936" s="5">
        <f>HYPERLINK("https://api.qogita.com/variants/link/8050712050000/", "View Product")</f>
        <v/>
      </c>
    </row>
    <row r="937">
      <c r="A937" t="inlineStr">
        <is>
          <t>8050712050017</t>
        </is>
      </c>
      <c r="B937" t="inlineStr">
        <is>
          <t>Xanitaliapro Vitamin F Strengthening Nail Oil 30 Ml</t>
        </is>
      </c>
      <c r="C937" t="inlineStr">
        <is>
          <t>Nail Oil</t>
        </is>
      </c>
      <c r="D937" t="inlineStr">
        <is>
          <t>Xanitalia</t>
        </is>
      </c>
      <c r="E937" t="n">
        <v>3.16</v>
      </c>
      <c r="F937" t="n">
        <v>1</v>
      </c>
      <c r="G937" t="n">
        <v>11</v>
      </c>
      <c r="H937" t="inlineStr">
        <is>
          <t>No</t>
        </is>
      </c>
      <c r="I937" t="inlineStr"/>
      <c r="J937" t="n">
        <v>1</v>
      </c>
      <c r="K937" t="n">
        <v>11</v>
      </c>
      <c r="L937" s="5">
        <f>HYPERLINK("https://api.qogita.com/variants/link/8050712050017/", "View Product")</f>
        <v/>
      </c>
    </row>
    <row r="938">
      <c r="A938" t="inlineStr">
        <is>
          <t>8050712050086</t>
        </is>
      </c>
      <c r="B938" t="inlineStr">
        <is>
          <t>Xanitaliapro Nail Polish Remover 100ml</t>
        </is>
      </c>
      <c r="C938" t="inlineStr">
        <is>
          <t>Nail Oil</t>
        </is>
      </c>
      <c r="D938" t="inlineStr">
        <is>
          <t>Xanitalia</t>
        </is>
      </c>
      <c r="E938" t="n">
        <v>2.4</v>
      </c>
      <c r="F938" t="n">
        <v>1</v>
      </c>
      <c r="G938" t="n">
        <v>9</v>
      </c>
      <c r="H938" t="inlineStr">
        <is>
          <t>No</t>
        </is>
      </c>
      <c r="I938" t="inlineStr"/>
      <c r="J938" t="n">
        <v>1</v>
      </c>
      <c r="K938" t="n">
        <v>9</v>
      </c>
      <c r="L938" s="5">
        <f>HYPERLINK("https://api.qogita.com/variants/link/8050712050086/", "View Product")</f>
        <v/>
      </c>
    </row>
    <row r="939">
      <c r="A939" t="inlineStr">
        <is>
          <t>8050712050109</t>
        </is>
      </c>
      <c r="B939" t="inlineStr">
        <is>
          <t>Xanitaliapro Nail Polish Remover 500ml Effective And Gentle Formula</t>
        </is>
      </c>
      <c r="C939" t="inlineStr">
        <is>
          <t>Nail Oil</t>
        </is>
      </c>
      <c r="D939" t="inlineStr">
        <is>
          <t>Xanitalia</t>
        </is>
      </c>
      <c r="E939" t="n">
        <v>4.14</v>
      </c>
      <c r="F939" t="n">
        <v>1</v>
      </c>
      <c r="G939" t="n">
        <v>5</v>
      </c>
      <c r="H939" t="inlineStr">
        <is>
          <t>No</t>
        </is>
      </c>
      <c r="I939" t="inlineStr"/>
      <c r="J939" t="n">
        <v>1</v>
      </c>
      <c r="K939" t="n">
        <v>5</v>
      </c>
      <c r="L939" s="5">
        <f>HYPERLINK("https://api.qogita.com/variants/link/8050712050109/", "View Product")</f>
        <v/>
      </c>
    </row>
    <row r="940">
      <c r="A940" t="inlineStr">
        <is>
          <t>8050712050123</t>
        </is>
      </c>
      <c r="B940" t="inlineStr">
        <is>
          <t>Xanitaliapro Nail Polish Remover 150ml</t>
        </is>
      </c>
      <c r="C940" t="inlineStr">
        <is>
          <t>Nail Oil</t>
        </is>
      </c>
      <c r="D940" t="inlineStr">
        <is>
          <t>Xanitalia</t>
        </is>
      </c>
      <c r="E940" t="n">
        <v>3.12</v>
      </c>
      <c r="F940" t="n">
        <v>1</v>
      </c>
      <c r="G940" t="n">
        <v>7</v>
      </c>
      <c r="H940" t="inlineStr">
        <is>
          <t>No</t>
        </is>
      </c>
      <c r="I940" t="inlineStr"/>
      <c r="J940" t="n">
        <v>1</v>
      </c>
      <c r="K940" t="n">
        <v>7</v>
      </c>
      <c r="L940" s="5">
        <f>HYPERLINK("https://api.qogita.com/variants/link/8050712050123/", "View Product")</f>
        <v/>
      </c>
    </row>
    <row r="941">
      <c r="A941" t="inlineStr">
        <is>
          <t>8050712050130</t>
        </is>
      </c>
      <c r="B941" t="inlineStr">
        <is>
          <t>Xanitaliapro Nail Polish Remover 500ml</t>
        </is>
      </c>
      <c r="C941" t="inlineStr">
        <is>
          <t>Nail Oil</t>
        </is>
      </c>
      <c r="D941" t="inlineStr">
        <is>
          <t>Xanitalia</t>
        </is>
      </c>
      <c r="E941" t="n">
        <v>3.77</v>
      </c>
      <c r="F941" t="n">
        <v>1</v>
      </c>
      <c r="G941" t="n">
        <v>7</v>
      </c>
      <c r="H941" t="inlineStr">
        <is>
          <t>No</t>
        </is>
      </c>
      <c r="I941" t="inlineStr"/>
      <c r="J941" t="n">
        <v>1</v>
      </c>
      <c r="K941" t="n">
        <v>7</v>
      </c>
      <c r="L941" s="5">
        <f>HYPERLINK("https://api.qogita.com/variants/link/8050712050130/", "View Product")</f>
        <v/>
      </c>
    </row>
    <row r="942">
      <c r="A942" t="inlineStr">
        <is>
          <t>8050712050147</t>
        </is>
      </c>
      <c r="B942" t="inlineStr">
        <is>
          <t>Xanitaliapro Permanent Nail Tech Uv Gel Nonacid Primer 10ml</t>
        </is>
      </c>
      <c r="C942" t="inlineStr">
        <is>
          <t>Nail Care Sets</t>
        </is>
      </c>
      <c r="D942" t="inlineStr">
        <is>
          <t>Xanitalia</t>
        </is>
      </c>
      <c r="E942" t="n">
        <v>5.1</v>
      </c>
      <c r="F942" t="n">
        <v>1</v>
      </c>
      <c r="G942" t="n">
        <v>2</v>
      </c>
      <c r="H942" t="inlineStr">
        <is>
          <t>No</t>
        </is>
      </c>
      <c r="I942" t="inlineStr"/>
      <c r="J942" t="n">
        <v>1</v>
      </c>
      <c r="K942" t="n">
        <v>2</v>
      </c>
      <c r="L942" s="5">
        <f>HYPERLINK("https://api.qogita.com/variants/link/8050712050147/", "View Product")</f>
        <v/>
      </c>
    </row>
    <row r="943">
      <c r="A943" t="inlineStr">
        <is>
          <t>8050712050154</t>
        </is>
      </c>
      <c r="B943" t="inlineStr">
        <is>
          <t>Xanitaliapro Permanent Nail Tech Uv Gel Base Gel Transparent 30ml</t>
        </is>
      </c>
      <c r="C943" t="inlineStr">
        <is>
          <t>Nail Care Sets</t>
        </is>
      </c>
      <c r="D943" t="inlineStr">
        <is>
          <t>Xanitalia</t>
        </is>
      </c>
      <c r="E943" t="n">
        <v>7.72</v>
      </c>
      <c r="F943" t="n">
        <v>1</v>
      </c>
      <c r="G943" t="n">
        <v>8</v>
      </c>
      <c r="H943" t="inlineStr">
        <is>
          <t>No</t>
        </is>
      </c>
      <c r="I943" t="inlineStr"/>
      <c r="J943" t="n">
        <v>1</v>
      </c>
      <c r="K943" t="n">
        <v>8</v>
      </c>
      <c r="L943" s="5">
        <f>HYPERLINK("https://api.qogita.com/variants/link/8050712050154/", "View Product")</f>
        <v/>
      </c>
    </row>
    <row r="944">
      <c r="A944" t="inlineStr">
        <is>
          <t>8050712050161</t>
        </is>
      </c>
      <c r="B944" t="inlineStr">
        <is>
          <t>Xanitaliapro Permanent Nail Tech Uv Gel Glossy Sealing Gel 10ml</t>
        </is>
      </c>
      <c r="C944" t="inlineStr">
        <is>
          <t>Nail Care Sets</t>
        </is>
      </c>
      <c r="D944" t="inlineStr">
        <is>
          <t>Xanitalia</t>
        </is>
      </c>
      <c r="E944" t="n">
        <v>5.37</v>
      </c>
      <c r="F944" t="n">
        <v>1</v>
      </c>
      <c r="G944" t="n">
        <v>7</v>
      </c>
      <c r="H944" t="inlineStr">
        <is>
          <t>No</t>
        </is>
      </c>
      <c r="I944" t="inlineStr"/>
      <c r="J944" t="n">
        <v>1</v>
      </c>
      <c r="K944" t="n">
        <v>7</v>
      </c>
      <c r="L944" s="5">
        <f>HYPERLINK("https://api.qogita.com/variants/link/8050712050161/", "View Product")</f>
        <v/>
      </c>
    </row>
    <row r="945">
      <c r="A945" t="inlineStr">
        <is>
          <t>8050712050192</t>
        </is>
      </c>
      <c r="B945" t="inlineStr">
        <is>
          <t>Xanitaliapro Permanent Nail Tech Uv Gel Reconstruction Gel Transparent Light Pink 30ml</t>
        </is>
      </c>
      <c r="C945" t="inlineStr">
        <is>
          <t>Nail Care Sets</t>
        </is>
      </c>
      <c r="D945" t="inlineStr">
        <is>
          <t>Xanitalia</t>
        </is>
      </c>
      <c r="E945" t="n">
        <v>7.72</v>
      </c>
      <c r="F945" t="n">
        <v>1</v>
      </c>
      <c r="G945" t="n">
        <v>4</v>
      </c>
      <c r="H945" t="inlineStr">
        <is>
          <t>No</t>
        </is>
      </c>
      <c r="I945" t="inlineStr"/>
      <c r="J945" t="n">
        <v>1</v>
      </c>
      <c r="K945" t="n">
        <v>4</v>
      </c>
      <c r="L945" s="5">
        <f>HYPERLINK("https://api.qogita.com/variants/link/8050712050192/", "View Product")</f>
        <v/>
      </c>
    </row>
    <row r="946">
      <c r="A946" t="inlineStr">
        <is>
          <t>8050712050208</t>
        </is>
      </c>
      <c r="B946" t="inlineStr">
        <is>
          <t>Xanitaliapro Permanent Nail Tech Uv Gel Gel French Extra White 30ml</t>
        </is>
      </c>
      <c r="C946" t="inlineStr">
        <is>
          <t>Nail Care Sets</t>
        </is>
      </c>
      <c r="D946" t="inlineStr">
        <is>
          <t>Xanitalia</t>
        </is>
      </c>
      <c r="E946" t="n">
        <v>7.72</v>
      </c>
      <c r="F946" t="n">
        <v>1</v>
      </c>
      <c r="G946" t="n">
        <v>5</v>
      </c>
      <c r="H946" t="inlineStr">
        <is>
          <t>No</t>
        </is>
      </c>
      <c r="I946" t="inlineStr"/>
      <c r="J946" t="n">
        <v>1</v>
      </c>
      <c r="K946" t="n">
        <v>5</v>
      </c>
      <c r="L946" s="5">
        <f>HYPERLINK("https://api.qogita.com/variants/link/8050712050208/", "View Product")</f>
        <v/>
      </c>
    </row>
    <row r="947">
      <c r="A947" t="inlineStr">
        <is>
          <t>8050712050253</t>
        </is>
      </c>
      <c r="B947" t="inlineStr">
        <is>
          <t>Xanitaliapro Permanent Nail Tech Uv Gel Fluid Monophasic Gel Transparent 10ml</t>
        </is>
      </c>
      <c r="C947" t="inlineStr">
        <is>
          <t>Nail Care Sets</t>
        </is>
      </c>
      <c r="D947" t="inlineStr">
        <is>
          <t>Xanitalia</t>
        </is>
      </c>
      <c r="E947" t="n">
        <v>5.1</v>
      </c>
      <c r="F947" t="n">
        <v>1</v>
      </c>
      <c r="G947" t="n">
        <v>4</v>
      </c>
      <c r="H947" t="inlineStr">
        <is>
          <t>No</t>
        </is>
      </c>
      <c r="I947" t="inlineStr"/>
      <c r="J947" t="n">
        <v>1</v>
      </c>
      <c r="K947" t="n">
        <v>4</v>
      </c>
      <c r="L947" s="5">
        <f>HYPERLINK("https://api.qogita.com/variants/link/8050712050253/", "View Product")</f>
        <v/>
      </c>
    </row>
    <row r="948">
      <c r="A948" t="inlineStr">
        <is>
          <t>8050712050277</t>
        </is>
      </c>
      <c r="B948" t="inlineStr">
        <is>
          <t>Xanitaliapro Permanent Nail Tech Uv Gel Monophasic Gel Medium Viscosity Pink Milky 15ml</t>
        </is>
      </c>
      <c r="C948" t="inlineStr">
        <is>
          <t>Nail Care Sets</t>
        </is>
      </c>
      <c r="D948" t="inlineStr">
        <is>
          <t>Xanitalia</t>
        </is>
      </c>
      <c r="E948" t="n">
        <v>7.72</v>
      </c>
      <c r="F948" t="n">
        <v>1</v>
      </c>
      <c r="G948" t="n">
        <v>3</v>
      </c>
      <c r="H948" t="inlineStr">
        <is>
          <t>No</t>
        </is>
      </c>
      <c r="I948" t="inlineStr"/>
      <c r="J948" t="n">
        <v>1</v>
      </c>
      <c r="K948" t="n">
        <v>3</v>
      </c>
      <c r="L948" s="5">
        <f>HYPERLINK("https://api.qogita.com/variants/link/8050712050277/", "View Product")</f>
        <v/>
      </c>
    </row>
    <row r="949">
      <c r="A949" t="inlineStr">
        <is>
          <t>8050712050291</t>
        </is>
      </c>
      <c r="B949" t="inlineStr">
        <is>
          <t>Xanitaliapro Permanent Nail Tech Uv Gel Monophasic Gel Medium Viscosity Light Pink 30ml</t>
        </is>
      </c>
      <c r="C949" t="inlineStr">
        <is>
          <t>Nail Care Sets</t>
        </is>
      </c>
      <c r="D949" t="inlineStr">
        <is>
          <t>Xanitalia</t>
        </is>
      </c>
      <c r="E949" t="n">
        <v>7.72</v>
      </c>
      <c r="F949" t="n">
        <v>1</v>
      </c>
      <c r="G949" t="n">
        <v>4</v>
      </c>
      <c r="H949" t="inlineStr">
        <is>
          <t>No</t>
        </is>
      </c>
      <c r="I949" t="inlineStr"/>
      <c r="J949" t="n">
        <v>1</v>
      </c>
      <c r="K949" t="n">
        <v>4</v>
      </c>
      <c r="L949" s="5">
        <f>HYPERLINK("https://api.qogita.com/variants/link/8050712050291/", "View Product")</f>
        <v/>
      </c>
    </row>
    <row r="950">
      <c r="A950" t="inlineStr">
        <is>
          <t>8050712050307</t>
        </is>
      </c>
      <c r="B950" t="inlineStr">
        <is>
          <t>Xanitaliapro Cuticle Softener 100ml Softens Cuticles For Easier Nail Care</t>
        </is>
      </c>
      <c r="C950" t="inlineStr">
        <is>
          <t>Cuticle Removers</t>
        </is>
      </c>
      <c r="D950" t="inlineStr">
        <is>
          <t>Xanitalia</t>
        </is>
      </c>
      <c r="E950" t="n">
        <v>3.28</v>
      </c>
      <c r="F950" t="n">
        <v>1</v>
      </c>
      <c r="G950" t="n">
        <v>7</v>
      </c>
      <c r="H950" t="inlineStr">
        <is>
          <t>No</t>
        </is>
      </c>
      <c r="I950" t="inlineStr"/>
      <c r="J950" t="n">
        <v>1</v>
      </c>
      <c r="K950" t="n">
        <v>7</v>
      </c>
      <c r="L950" s="5">
        <f>HYPERLINK("https://api.qogita.com/variants/link/8050712050307/", "View Product")</f>
        <v/>
      </c>
    </row>
    <row r="951">
      <c r="A951" t="inlineStr">
        <is>
          <t>4008576104289</t>
        </is>
      </c>
      <c r="B951" t="inlineStr">
        <is>
          <t>Titania Nail File 17cm Red</t>
        </is>
      </c>
      <c r="C951" t="inlineStr">
        <is>
          <t>Nail Care Sets</t>
        </is>
      </c>
      <c r="D951" t="inlineStr">
        <is>
          <t>Titania</t>
        </is>
      </c>
      <c r="E951" t="n">
        <v>2</v>
      </c>
      <c r="F951" t="n">
        <v>1</v>
      </c>
      <c r="G951" t="n">
        <v>2</v>
      </c>
      <c r="H951" t="inlineStr">
        <is>
          <t>No</t>
        </is>
      </c>
      <c r="I951" t="inlineStr"/>
      <c r="J951" t="n">
        <v>1</v>
      </c>
      <c r="K951" t="n">
        <v>2</v>
      </c>
      <c r="L951" s="5">
        <f>HYPERLINK("https://api.qogita.com/variants/link/4008576104289/", "View Product")</f>
        <v/>
      </c>
    </row>
    <row r="952">
      <c r="A952" t="inlineStr">
        <is>
          <t>4008576105262</t>
        </is>
      </c>
      <c r="B952" t="inlineStr">
        <is>
          <t>TITANIA Foot Nail Clipper Chrome with Catching Tray Color Assorted 50g</t>
        </is>
      </c>
      <c r="C952" t="inlineStr">
        <is>
          <t>Nail Clippers &amp; Tools</t>
        </is>
      </c>
      <c r="D952" t="inlineStr">
        <is>
          <t>Titania</t>
        </is>
      </c>
      <c r="E952" t="n">
        <v>1.71</v>
      </c>
      <c r="F952" t="n">
        <v>1</v>
      </c>
      <c r="G952" t="n">
        <v>1</v>
      </c>
      <c r="H952" t="inlineStr">
        <is>
          <t>No</t>
        </is>
      </c>
      <c r="I952" t="inlineStr"/>
      <c r="J952" t="n">
        <v>1</v>
      </c>
      <c r="K952" t="n">
        <v>1</v>
      </c>
      <c r="L952" s="5">
        <f>HYPERLINK("https://api.qogita.com/variants/link/4008576105262/", "View Product")</f>
        <v/>
      </c>
    </row>
    <row r="953">
      <c r="A953" t="inlineStr">
        <is>
          <t>4008600246466</t>
        </is>
      </c>
      <c r="B953" t="inlineStr">
        <is>
          <t>NUK Baby Nail Clipper</t>
        </is>
      </c>
      <c r="C953" t="inlineStr">
        <is>
          <t>Nail Clippers &amp; Tools</t>
        </is>
      </c>
      <c r="D953" t="inlineStr">
        <is>
          <t>Nuk</t>
        </is>
      </c>
      <c r="E953" t="n">
        <v>4.67</v>
      </c>
      <c r="F953" t="n">
        <v>1</v>
      </c>
      <c r="G953" t="n">
        <v>2</v>
      </c>
      <c r="H953" t="inlineStr">
        <is>
          <t>No</t>
        </is>
      </c>
      <c r="I953" t="inlineStr"/>
      <c r="J953" t="n">
        <v>1</v>
      </c>
      <c r="K953" t="n">
        <v>2</v>
      </c>
      <c r="L953" s="5">
        <f>HYPERLINK("https://api.qogita.com/variants/link/4008600246466/", "View Product")</f>
        <v/>
      </c>
    </row>
    <row r="954">
      <c r="A954" t="inlineStr">
        <is>
          <t>4013474103173</t>
        </is>
      </c>
      <c r="B954" t="inlineStr">
        <is>
          <t>Gehwol Gerlan NailCare Oil 15ml</t>
        </is>
      </c>
      <c r="C954" t="inlineStr">
        <is>
          <t>Nail Oil</t>
        </is>
      </c>
      <c r="D954" t="inlineStr">
        <is>
          <t>Gehwol</t>
        </is>
      </c>
      <c r="E954" t="n">
        <v>7.54</v>
      </c>
      <c r="F954" t="n">
        <v>1</v>
      </c>
      <c r="G954" t="n">
        <v>1</v>
      </c>
      <c r="H954" t="inlineStr">
        <is>
          <t>No</t>
        </is>
      </c>
      <c r="I954" t="inlineStr"/>
      <c r="J954" t="n">
        <v>1</v>
      </c>
      <c r="K954" t="n">
        <v>1</v>
      </c>
      <c r="L954" s="5">
        <f>HYPERLINK("https://api.qogita.com/variants/link/4013474103173/", "View Product")</f>
        <v/>
      </c>
    </row>
    <row r="955">
      <c r="A955" t="inlineStr">
        <is>
          <t>5200120750082</t>
        </is>
      </c>
      <c r="B955" t="inlineStr">
        <is>
          <t>Medimar Nail Treatment Ealk Step 1 14ml</t>
        </is>
      </c>
      <c r="C955" t="inlineStr">
        <is>
          <t>Nail Care</t>
        </is>
      </c>
      <c r="D955" t="inlineStr">
        <is>
          <t>Medimare</t>
        </is>
      </c>
      <c r="E955" t="n">
        <v>12.65</v>
      </c>
      <c r="F955" t="n">
        <v>1</v>
      </c>
      <c r="G955" t="n">
        <v>2</v>
      </c>
      <c r="H955" t="inlineStr">
        <is>
          <t>No</t>
        </is>
      </c>
      <c r="I955" t="inlineStr"/>
      <c r="J955" t="n">
        <v>1</v>
      </c>
      <c r="K955" t="n">
        <v>2</v>
      </c>
      <c r="L955" s="5">
        <f>HYPERLINK("https://api.qogita.com/variants/link/5200120750082/", "View Product")</f>
        <v/>
      </c>
    </row>
    <row r="956">
      <c r="A956" t="inlineStr">
        <is>
          <t>5200121030091</t>
        </is>
      </c>
      <c r="B956" t="inlineStr">
        <is>
          <t>Medworld Uronyx Nail Gel Softening Gel For Nails 10ml</t>
        </is>
      </c>
      <c r="C956" t="inlineStr">
        <is>
          <t>Nail Oil</t>
        </is>
      </c>
      <c r="D956" t="inlineStr">
        <is>
          <t>Medworld</t>
        </is>
      </c>
      <c r="E956" t="n">
        <v>14.63</v>
      </c>
      <c r="F956" t="n">
        <v>1</v>
      </c>
      <c r="G956" t="n">
        <v>1</v>
      </c>
      <c r="H956" t="inlineStr">
        <is>
          <t>No</t>
        </is>
      </c>
      <c r="I956" t="inlineStr"/>
      <c r="J956" t="n">
        <v>1</v>
      </c>
      <c r="K956" t="n">
        <v>1</v>
      </c>
      <c r="L956" s="5">
        <f>HYPERLINK("https://api.qogita.com/variants/link/5200121030091/", "View Product")</f>
        <v/>
      </c>
    </row>
    <row r="957">
      <c r="A957" t="inlineStr">
        <is>
          <t>5201347169992</t>
        </is>
      </c>
      <c r="B957" t="inlineStr">
        <is>
          <t>Scholl Velvet Smooth Nail Care System</t>
        </is>
      </c>
      <c r="C957" t="inlineStr">
        <is>
          <t>Nail Care Sets</t>
        </is>
      </c>
      <c r="D957" t="inlineStr">
        <is>
          <t>Camomilla Italiana</t>
        </is>
      </c>
      <c r="E957" t="n">
        <v>28.79</v>
      </c>
      <c r="F957" t="n">
        <v>1</v>
      </c>
      <c r="G957" t="n">
        <v>1</v>
      </c>
      <c r="H957" t="inlineStr">
        <is>
          <t>No</t>
        </is>
      </c>
      <c r="I957" t="inlineStr"/>
      <c r="J957" t="n">
        <v>1</v>
      </c>
      <c r="K957" t="n">
        <v>1</v>
      </c>
      <c r="L957" s="5">
        <f>HYPERLINK("https://api.qogita.com/variants/link/5201347169992/", "View Product")</f>
        <v/>
      </c>
    </row>
    <row r="958">
      <c r="A958" t="inlineStr">
        <is>
          <t>5202518000700</t>
        </is>
      </c>
      <c r="B958" t="inlineStr">
        <is>
          <t>Beauty Spring Nail File Solingen Metal In Orange Color 1 Piece</t>
        </is>
      </c>
      <c r="C958" t="inlineStr">
        <is>
          <t>Nail Clippers &amp; Tools</t>
        </is>
      </c>
      <c r="D958" t="inlineStr">
        <is>
          <t>Beauty Spring</t>
        </is>
      </c>
      <c r="E958" t="n">
        <v>1.75</v>
      </c>
      <c r="F958" t="n">
        <v>1</v>
      </c>
      <c r="G958" t="n">
        <v>2</v>
      </c>
      <c r="H958" t="inlineStr">
        <is>
          <t>No</t>
        </is>
      </c>
      <c r="I958" t="inlineStr"/>
      <c r="J958" t="n">
        <v>1</v>
      </c>
      <c r="K958" t="n">
        <v>2</v>
      </c>
      <c r="L958" s="5">
        <f>HYPERLINK("https://api.qogita.com/variants/link/5202518000700/", "View Product")</f>
        <v/>
      </c>
    </row>
    <row r="959">
      <c r="A959" t="inlineStr">
        <is>
          <t>5202518006108</t>
        </is>
      </c>
      <c r="B959" t="inlineStr">
        <is>
          <t>Beauty Spring Nail Scissors Nickel Thick Code:610</t>
        </is>
      </c>
      <c r="C959" t="inlineStr">
        <is>
          <t>Nail Clippers &amp; Tools</t>
        </is>
      </c>
      <c r="D959" t="inlineStr">
        <is>
          <t>Beauty Spring</t>
        </is>
      </c>
      <c r="E959" t="n">
        <v>5.02</v>
      </c>
      <c r="F959" t="n">
        <v>1</v>
      </c>
      <c r="G959" t="n">
        <v>1</v>
      </c>
      <c r="H959" t="inlineStr">
        <is>
          <t>No</t>
        </is>
      </c>
      <c r="I959" t="inlineStr"/>
      <c r="J959" t="n">
        <v>1</v>
      </c>
      <c r="K959" t="n">
        <v>1</v>
      </c>
      <c r="L959" s="5">
        <f>HYPERLINK("https://api.qogita.com/variants/link/5202518006108/", "View Product")</f>
        <v/>
      </c>
    </row>
    <row r="960">
      <c r="A960" t="inlineStr">
        <is>
          <t>5202518007006</t>
        </is>
      </c>
      <c r="B960" t="inlineStr">
        <is>
          <t>Beauty Spring Nail Scissors Nickel Fine Tip 700 1 Piece</t>
        </is>
      </c>
      <c r="C960" t="inlineStr">
        <is>
          <t>Nail Clippers &amp; Tools</t>
        </is>
      </c>
      <c r="D960" t="inlineStr">
        <is>
          <t>Beauty Spring</t>
        </is>
      </c>
      <c r="E960" t="n">
        <v>6.84</v>
      </c>
      <c r="F960" t="n">
        <v>1</v>
      </c>
      <c r="G960" t="n">
        <v>6</v>
      </c>
      <c r="H960" t="inlineStr">
        <is>
          <t>No</t>
        </is>
      </c>
      <c r="I960" t="inlineStr"/>
      <c r="J960" t="n">
        <v>1</v>
      </c>
      <c r="K960" t="n">
        <v>6</v>
      </c>
      <c r="L960" s="5">
        <f>HYPERLINK("https://api.qogita.com/variants/link/5202518007006/", "View Product")</f>
        <v/>
      </c>
    </row>
    <row r="961">
      <c r="A961" t="inlineStr">
        <is>
          <t>5205703004118</t>
        </is>
      </c>
      <c r="B961" t="inlineStr">
        <is>
          <t>Reveri Nail Clipper 425</t>
        </is>
      </c>
      <c r="C961" t="inlineStr">
        <is>
          <t>Nail Clippers &amp; Tools</t>
        </is>
      </c>
      <c r="D961" t="inlineStr">
        <is>
          <t>ReveRi</t>
        </is>
      </c>
      <c r="E961" t="n">
        <v>7.16</v>
      </c>
      <c r="F961" t="n">
        <v>1</v>
      </c>
      <c r="G961" t="n">
        <v>1</v>
      </c>
      <c r="H961" t="inlineStr">
        <is>
          <t>No</t>
        </is>
      </c>
      <c r="I961" t="inlineStr"/>
      <c r="J961" t="n">
        <v>1</v>
      </c>
      <c r="K961" t="n">
        <v>1</v>
      </c>
      <c r="L961" s="5">
        <f>HYPERLINK("https://api.qogita.com/variants/link/5205703004118/", "View Product")</f>
        <v/>
      </c>
    </row>
    <row r="962">
      <c r="A962" t="inlineStr">
        <is>
          <t>5206680000810</t>
        </is>
      </c>
      <c r="B962" t="inlineStr">
        <is>
          <t>Podia Nails Intensive Care Serum 10ml</t>
        </is>
      </c>
      <c r="C962" t="inlineStr">
        <is>
          <t>Nail Oil</t>
        </is>
      </c>
      <c r="D962" t="inlineStr">
        <is>
          <t>Pharmapoli Com</t>
        </is>
      </c>
      <c r="E962" t="n">
        <v>7.09</v>
      </c>
      <c r="F962" t="n">
        <v>1</v>
      </c>
      <c r="G962" t="n">
        <v>1</v>
      </c>
      <c r="H962" t="inlineStr">
        <is>
          <t>No</t>
        </is>
      </c>
      <c r="I962" t="inlineStr"/>
      <c r="J962" t="n">
        <v>1</v>
      </c>
      <c r="K962" t="n">
        <v>1</v>
      </c>
      <c r="L962" s="5">
        <f>HYPERLINK("https://api.qogita.com/variants/link/5206680000810/", "View Product")</f>
        <v/>
      </c>
    </row>
    <row r="963">
      <c r="A963" t="inlineStr">
        <is>
          <t>8052693920266</t>
        </is>
      </c>
      <c r="B963" t="inlineStr">
        <is>
          <t>Master Aid Foot Care Onychomycosis Nail Pen 4ml</t>
        </is>
      </c>
      <c r="C963" t="inlineStr">
        <is>
          <t>Nail Oil</t>
        </is>
      </c>
      <c r="D963" t="inlineStr">
        <is>
          <t>Master-Aid</t>
        </is>
      </c>
      <c r="E963" t="n">
        <v>14.26</v>
      </c>
      <c r="F963" t="n">
        <v>1</v>
      </c>
      <c r="G963" t="n">
        <v>6</v>
      </c>
      <c r="H963" t="inlineStr">
        <is>
          <t>No</t>
        </is>
      </c>
      <c r="I963" t="inlineStr"/>
      <c r="J963" t="n">
        <v>1</v>
      </c>
      <c r="K963" t="n">
        <v>6</v>
      </c>
      <c r="L963" s="5">
        <f>HYPERLINK("https://api.qogita.com/variants/link/8052693920266/", "View Product")</f>
        <v/>
      </c>
    </row>
    <row r="964">
      <c r="A964" t="inlineStr">
        <is>
          <t>8436615702770</t>
        </is>
      </c>
      <c r="B964" t="inlineStr">
        <is>
          <t>Verset Opal 15ml</t>
        </is>
      </c>
      <c r="C964" t="inlineStr">
        <is>
          <t>Nail Oil</t>
        </is>
      </c>
      <c r="D964" t="inlineStr">
        <is>
          <t>Versace</t>
        </is>
      </c>
      <c r="E964" t="n">
        <v>5.29</v>
      </c>
      <c r="F964" t="n">
        <v>1</v>
      </c>
      <c r="G964" t="n">
        <v>3</v>
      </c>
      <c r="H964" t="inlineStr">
        <is>
          <t>No</t>
        </is>
      </c>
      <c r="I964" t="inlineStr"/>
      <c r="J964" t="n">
        <v>1</v>
      </c>
      <c r="K964" t="n">
        <v>3</v>
      </c>
      <c r="L964" s="5">
        <f>HYPERLINK("https://api.qogita.com/variants/link/8436615702770/", "View Product")</f>
        <v/>
      </c>
    </row>
    <row r="965">
      <c r="A965" t="inlineStr">
        <is>
          <t>8718309702434</t>
        </is>
      </c>
      <c r="B965" t="inlineStr">
        <is>
          <t>Mycosan Nail Fungus Treatment 5ml</t>
        </is>
      </c>
      <c r="C965" t="inlineStr">
        <is>
          <t>Nail Oil</t>
        </is>
      </c>
      <c r="D965" t="inlineStr">
        <is>
          <t>Mycosan</t>
        </is>
      </c>
      <c r="E965" t="n">
        <v>10.55</v>
      </c>
      <c r="F965" t="n">
        <v>1</v>
      </c>
      <c r="G965" t="n">
        <v>1</v>
      </c>
      <c r="H965" t="inlineStr">
        <is>
          <t>No</t>
        </is>
      </c>
      <c r="I965" t="inlineStr"/>
      <c r="J965" t="n">
        <v>1</v>
      </c>
      <c r="K965" t="n">
        <v>1</v>
      </c>
      <c r="L965" s="5">
        <f>HYPERLINK("https://api.qogita.com/variants/link/8718309702434/", "View Product")</f>
        <v/>
      </c>
    </row>
  </sheetData>
  <mergeCells count="4">
    <mergeCell ref="A4:L4"/>
    <mergeCell ref="A1:L1"/>
    <mergeCell ref="A2:L2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2026-10-07T16:44:25Z</dcterms:created>
  <dcterms:modified xmlns:dcterms="http://purl.org/dc/terms/" xmlns:xsi="http://www.w3.org/2001/XMLSchema-instance" xsi:type="dcterms:W3CDTF">2026-10-07T16:44:25Z</dcterms:modified>
</cp:coreProperties>
</file>